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8ef0af4b364d6b" /></Relationships>
</file>

<file path=xl/workbook.xml><?xml version="1.0" encoding="utf-8"?>
<x:workbook xmlns:x="http://schemas.openxmlformats.org/spreadsheetml/2006/main">
  <x:sheets>
    <x:sheet xmlns:r="http://schemas.openxmlformats.org/officeDocument/2006/relationships" name="RTM" sheetId="1" r:id="R924fd30ee5fb48d4"/>
    <x:sheet xmlns:r="http://schemas.openxmlformats.org/officeDocument/2006/relationships" name="Rule" sheetId="5" r:id="R5ce07c4c4e87410c"/>
    <x:sheet xmlns:r="http://schemas.openxmlformats.org/officeDocument/2006/relationships" name="Sources" sheetId="2" r:id="R1c2dad797bcf4244"/>
    <x:sheet xmlns:r="http://schemas.openxmlformats.org/officeDocument/2006/relationships" name="Evidence Links" sheetId="6" r:id="R1d41e94beb44436c"/>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9"/>
      <x:color rgb="FF000000"/>
      <x:name val="Arial"/>
    </x:font>
    <x:font>
      <x:sz val="8"/>
      <x:color rgb="FF1E1E1E"/>
      <x:name val="Arial"/>
    </x:font>
    <x:font>
      <x:sz val="9"/>
      <x:name val="宋体"/>
    </x:font>
    <x:font>
      <x:b/>
      <x:sz val="8"/>
      <x:name val="Arial"/>
    </x:font>
    <x:font>
      <x:sz val="8"/>
      <x:color theme="1"/>
      <x:name val="Arial"/>
    </x:font>
    <x:font>
      <x:sz val="11"/>
      <x:color theme="10"/>
      <x:name val="Carlito"/>
    </x:font>
    <x:font>
      <x:sz val="8"/>
      <x:name val="Arial"/>
    </x:font>
    <x:font>
      <x:sz val="8"/>
      <x:color theme="10"/>
      <x:name val="Arial"/>
    </x:font>
    <x:font>
      <x:sz val="8"/>
      <x:color rgb="FF0563C1"/>
      <x:name val="Arial"/>
    </x:font>
  </x:fonts>
  <x:fills count="7">
    <x:fill>
      <x:patternFill patternType="none"/>
    </x:fill>
    <x:fill>
      <x:patternFill patternType="gray125"/>
    </x:fill>
    <x:fill>
      <x:patternFill patternType="solid">
        <x:fgColor rgb="FFFFFFFF"/>
      </x:patternFill>
    </x:fill>
    <x:fill>
      <x:patternFill patternType="solid">
        <x:fgColor rgb="FFF7FBFD"/>
      </x:patternFill>
    </x:fill>
    <x:fill>
      <x:patternFill patternType="solid">
        <x:fgColor theme="7" tint="0.79995"/>
      </x:patternFill>
    </x:fill>
    <x:fill>
      <x:patternFill patternType="solid">
        <x:fgColor theme="0"/>
      </x:patternFill>
    </x:fill>
    <x:fill>
      <x:patternFill patternType="solid">
        <x:fgColor theme="4" tint="0.79995"/>
      </x:patternFill>
    </x:fill>
  </x:fills>
  <x:borders count="3">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s>
  <x:cellStyleXfs count="2">
    <x:xf numFmtId="0" fontId="0" fillId="0" borderId="0"/>
    <x:xf numFmtId="0" fontId="6" fillId="0" borderId="0" applyNumberFormat="0" applyFill="0" applyBorder="0" applyAlignment="0" applyProtection="0"/>
  </x:cellStyleXfs>
  <x:cellXfs count="40">
    <x:xf numFmtId="0" fontId="0" fillId="0" borderId="0" xfId="0"/>
    <x:xf numFmtId="0" fontId="0" fillId="0" borderId="1" xfId="0" applyBorder="1"/>
    <x:xf numFmtId="0" fontId="2" fillId="5" borderId="1" xfId="0" applyFont="1" applyFill="1" applyBorder="1" applyAlignment="1">
      <x:alignment vertical="center"/>
    </x:xf>
    <x:xf numFmtId="0" fontId="5" fillId="6" borderId="1" xfId="0" applyFont="1" applyFill="1" applyBorder="1" applyAlignment="1">
      <x:alignment vertical="center"/>
    </x:xf>
    <x:xf numFmtId="0" fontId="2" fillId="5" borderId="1" xfId="0" applyFont="1" applyFill="1" applyBorder="1" applyAlignment="1">
      <x:alignment vertical="center" wrapText="1"/>
    </x:xf>
    <x:xf numFmtId="0" fontId="6" fillId="5" borderId="1" xfId="1" applyFill="1" applyBorder="1" applyAlignment="1">
      <x:alignment vertical="center" wrapText="1"/>
    </x:xf>
    <x:xf numFmtId="0" fontId="1" fillId="5" borderId="2" xfId="0" applyFont="1" applyFill="1" applyBorder="1" applyAlignment="1">
      <x:alignment wrapText="1"/>
    </x:xf>
    <x:xf numFmtId="0" fontId="1" fillId="5" borderId="1" xfId="0" applyFont="1" applyFill="1" applyBorder="1" applyAlignment="1">
      <x:alignment wrapText="1"/>
    </x:xf>
    <x:xf numFmtId="0" fontId="0" fillId="5" borderId="1" xfId="0" applyFill="1" applyBorder="1" applyAlignment="1">
      <x:alignment wrapText="1"/>
    </x:xf>
    <x:xf numFmtId="0" fontId="4" fillId="4" borderId="1" xfId="0" applyFont="1" applyFill="1" applyBorder="1" applyAlignment="1">
      <x:alignment horizontal="center" vertical="center" wrapText="1"/>
    </x:xf>
    <x:xf numFmtId="0" fontId="0" fillId="4" borderId="1" xfId="0" applyFill="1" applyBorder="1" applyAlignment="1">
      <x:alignment wrapText="1"/>
    </x:xf>
    <x:xf numFmtId="0" fontId="2" fillId="2" borderId="1" xfId="0" applyFont="1" applyFill="1" applyBorder="1" applyAlignment="1">
      <x:alignment horizontal="center" vertical="center" wrapText="1"/>
    </x:xf>
    <x:xf numFmtId="0" fontId="2" fillId="2" borderId="1" xfId="0" applyFont="1" applyFill="1" applyBorder="1" applyAlignment="1">
      <x:alignment vertical="center" wrapText="1"/>
    </x:xf>
    <x:xf numFmtId="0" fontId="0" fillId="0" borderId="1" xfId="0" applyBorder="1" applyAlignment="1">
      <x:alignment wrapText="1"/>
    </x:xf>
    <x:xf numFmtId="0" fontId="2" fillId="3" borderId="1" xfId="0" applyFont="1" applyFill="1" applyBorder="1" applyAlignment="1">
      <x:alignment horizontal="center" vertical="center" wrapText="1"/>
    </x:xf>
    <x:xf numFmtId="0" fontId="2" fillId="3" borderId="1" xfId="0" applyFont="1" applyFill="1" applyBorder="1" applyAlignment="1">
      <x:alignment vertical="center" wrapText="1"/>
    </x:xf>
    <x:xf numFmtId="0" fontId="2" fillId="5" borderId="1" xfId="0" applyFont="1" applyFill="1" applyBorder="1" applyAlignment="1">
      <x:alignment horizontal="left" vertical="top" wrapText="1"/>
    </x:xf>
    <x:xf numFmtId="0" fontId="2" fillId="5" borderId="1" xfId="0" applyNumberFormat="1" applyFont="1" applyFill="1" applyBorder="1" applyAlignment="1">
      <x:alignment vertical="center" wrapText="1"/>
    </x:xf>
    <x:xf numFmtId="0" fontId="2" fillId="5" borderId="1"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7" fillId="0" borderId="0" xfId="0" applyNumberFormat="1" applyFont="1" applyFill="1" applyBorder="1" applyAlignment="1">
      <x:alignment wrapText="1"/>
    </x:xf>
    <x:xf numFmtId="0" fontId="8" fillId="5" borderId="1" xfId="0" applyNumberFormat="1" applyFont="1" applyFill="1" applyBorder="1" applyAlignment="1">
      <x:alignment vertical="center" wrapText="1"/>
    </x:xf>
    <x:xf numFmtId="0" fontId="4" fillId="4"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1" xfId="0" applyNumberFormat="1" applyFont="1" applyFill="1" applyBorder="1" applyAlignment="1">
      <x:alignment vertical="center"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5" fillId="6" borderId="1" xfId="0" applyNumberFormat="1" applyFont="1" applyFill="1" applyBorder="1" applyAlignment="1">
      <x:alignment vertical="center"/>
    </x:xf>
    <x:xf numFmtId="0" fontId="9" fillId="0" borderId="0" xfId="0" applyNumberFormat="1" applyFont="1" applyFill="1" applyBorder="1" applyAlignment="1">
      <x:alignment wrapText="1"/>
    </x:xf>
    <x:xf numFmtId="0" fontId="9" fillId="5"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7" fillId="0" borderId="0" xfId="0" applyNumberFormat="1" applyFont="1" applyFill="1" applyBorder="1"/>
    <x:xf numFmtId="0" fontId="4" fillId="0" borderId="0" xfId="0" applyNumberFormat="1" applyFont="1" applyFill="1" applyBorder="1"/>
    <x:xf numFmtId="0" fontId="9" fillId="0" borderId="0" xfId="0" applyNumberFormat="1" applyFont="1" applyFill="1" applyBorder="1"/>
    <x:xf numFmtId="0" fontId="4"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9"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cellXfs>
  <x:cellStyles count="2">
    <x:cellStyle name="Hyperlink" xfId="1"/>
    <x:cellStyle name="Normal" xfId="0"/>
  </x:cellStyles>
  <x:dxfs count="16">
    <x:dxf>
      <x:font>
        <x:u val="none"/>
        <x:sz val="8"/>
        <x:color rgb="FF1E1E1E"/>
        <x:name val="Arial"/>
        <x:family val="2"/>
        <x:scheme val="none"/>
      </x:font>
      <x:fill>
        <x:patternFill>
          <x:bgColor indexed="64"/>
        </x:patternFill>
      </x:fill>
    </x:dxf>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x:top style="thin">
          <x:color indexed="64"/>
        </x:top>
        <x:bottom style="thin">
          <x:color indexed="64"/>
        </x:bottom>
      </x:border>
    </x:dxf>
    <x:dxf>
      <x:font>
        <x:u val="none"/>
        <x:sz val="8"/>
        <x:color rgb="FF1E1E1E"/>
        <x:name val="Arial"/>
        <x:family val="2"/>
        <x:scheme val="none"/>
      </x:font>
      <x:fill>
        <x:patternFill>
          <x:bgColor indexed="64"/>
        </x:patternFill>
      </x:fill>
      <x:border>
        <x:left style="thin">
          <x:color indexed="64"/>
        </x:left>
        <x:right style="thin">
          <x:color indexed="64"/>
        </x:right>
        <x:top style="thin">
          <x:color indexed="64"/>
        </x:top>
        <x:bottom style="thin">
          <x:color indexed="64"/>
        </x:bottom>
      </x:border>
    </x:dxf>
    <x:dxf>
      <x:font>
        <x:u val="none"/>
        <x:sz val="8"/>
        <x:color rgb="FF1E1E1E"/>
        <x:name val="Arial"/>
        <x:family val="2"/>
        <x:scheme val="none"/>
      </x:font>
      <x:fill>
        <x:patternFill>
          <x:bgColor indexed="64"/>
        </x:patternFill>
      </x:fill>
      <x:border>
        <x:left/>
        <x:right style="thin">
          <x:color indexed="64"/>
        </x:right>
        <x:top style="thin">
          <x:color indexed="64"/>
        </x:top>
        <x:bottom style="thin">
          <x:color indexed="64"/>
        </x:bottom>
      </x:border>
    </x:dxf>
    <x:dxf>
      <x:fill>
        <x:patternFill>
          <x:bgColor indexed="64"/>
        </x:patternFill>
      </x:fill>
    </x:dxf>
    <x:dxf>
      <x:border>
        <x:bottom style="medium">
          <x:color rgb="FFD9D9D9"/>
        </x:bottom>
      </x:border>
    </x:dxf>
    <x:dxf>
      <x:border>
        <x:bottom style="medium">
          <x:color rgb="FFD9D9D9"/>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72af140287244291" /><Relationship Type="http://schemas.openxmlformats.org/officeDocument/2006/relationships/theme" Target="/xl/theme/theme1.xml" Id="R90a59079deb34b1e" /><Relationship Type="http://schemas.openxmlformats.org/officeDocument/2006/relationships/sharedStrings" Target="/xl/sharedStrings.xml" Id="Rc7db68e3a3014a9d" /><Relationship Type="http://schemas.openxmlformats.org/officeDocument/2006/relationships/worksheet" Target="/xl/worksheets/sheet1.xml" Id="R924fd30ee5fb48d4" /><Relationship Type="http://schemas.openxmlformats.org/officeDocument/2006/relationships/worksheet" Target="/xl/worksheets/sheet2.xml" Id="R5ce07c4c4e87410c" /><Relationship Type="http://schemas.openxmlformats.org/officeDocument/2006/relationships/worksheet" Target="/xl/worksheets/sheet3.xml" Id="R1c2dad797bcf4244" /><Relationship Type="http://schemas.openxmlformats.org/officeDocument/2006/relationships/worksheet" Target="/xl/worksheets/sheet4.xml" Id="R1d41e94beb44436c" /></Relationships>
</file>

<file path=xl/tables/table1.xml><?xml version="1.0" encoding="utf-8"?>
<x:table xmlns:x="http://schemas.openxmlformats.org/spreadsheetml/2006/main" id="1" name="RTMTable" displayName="RTMTable" ref="A1:H21" totalsRowShown="0" headerRowBorderDxfId="15">
  <x:autoFilter ref="A1:H21"/>
  <x:tableColumns count="8">
    <x:tableColumn id="1" name="ID" dataDxfId="9"/>
    <x:tableColumn id="2" name="Requirement" dataDxfId="8"/>
    <x:tableColumn id="3" name="Source" dataDxfId="7"/>
    <x:tableColumn id="4" name="MVP Status" dataDxfId="6"/>
    <x:tableColumn id="5" name="Implementation / Component" dataDxfId="5"/>
    <x:tableColumn id="8" name="Related File" dataDxfId="4"/>
    <x:tableColumn id="6" name="Test / Evidence" dataDxfId="3"/>
    <x:tableColumn id="7" name="Status" dataDxfId="2"/>
  </x:tableColumns>
  <x:tableStyleInfo name="TableStyleMedium2" showFirstColumn="0" showLastColumn="0" showRowStripes="1" showColumnStripes="0"/>
</x:table>
</file>

<file path=xl/tables/table2.xml><?xml version="1.0" encoding="utf-8"?>
<x:table xmlns:x="http://schemas.openxmlformats.org/spreadsheetml/2006/main" id="3" name="SourcesTable" displayName="SourcesTable" ref="A1:C9" headerRowCount="1" totalsRowCount="0" totalsRowShown="0" dataDxfId="13" headerRowBorderDxfId="14">
  <x:autoFilter ref="A1:C9"/>
  <x:tableColumns count="3">
    <x:tableColumn id="1" name="ID"/>
    <x:tableColumn id="2" name="Source"/>
    <x:tableColumn id="3" name="Use"/>
  </x:tableColumns>
  <x:tableStyleInfo name="TableStyleMedium2" showFirstColumn="0" showLastColumn="0" showRowStripes="1" showColumnStripes="0"/>
</x:table>
</file>

<file path=xl/tables/table3.xml><?xml version="1.0" encoding="utf-8"?>
<x:table xmlns:x="http://schemas.openxmlformats.org/spreadsheetml/2006/main" id="4" name="EvidenceLinksTable" displayName="EvidenceLinksTable" ref="A1:D20" headerRowCount="1" totalsRowCount="0" totalsRowShown="0">
  <x:tableColumns count="4">
    <x:tableColumn id="1" name="Type"/>
    <x:tableColumn id="2" name="Reference"/>
    <x:tableColumn id="3" name="Evidence"/>
    <x:tableColumn id="4" name="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Roshss2508/CITS_5206_Proj11_Capstone/pull/14" TargetMode="External" Id="Rb9b536702f7c42c4" /><Relationship Type="http://schemas.openxmlformats.org/officeDocument/2006/relationships/hyperlink" Target="https://github.com/Roshss2508/CITS_5206_Proj11_Capstone/pull/14" TargetMode="External" Id="Refc4dbfef2904816" /><Relationship Type="http://schemas.openxmlformats.org/officeDocument/2006/relationships/table" Target="/xl/tables/table1.xml" Id="R9cfa4608bf1c41a3" /></Relationships>
</file>

<file path=xl/worksheets/_rels/sheet3.xml.rels>&#65279;<?xml version="1.0" encoding="utf-8"?><Relationships xmlns="http://schemas.openxmlformats.org/package/2006/relationships"><Relationship Type="http://schemas.openxmlformats.org/officeDocument/2006/relationships/table" Target="/xl/tables/table2.xml" Id="R42ef78be46cc4b2b" /></Relationships>
</file>

<file path=xl/worksheets/_rels/sheet4.xml.rels>&#65279;<?xml version="1.0" encoding="utf-8"?><Relationships xmlns="http://schemas.openxmlformats.org/package/2006/relationships"><Relationship Type="http://schemas.openxmlformats.org/officeDocument/2006/relationships/table" Target="/xl/tables/table3.xml" Id="R2a5c11ec14594690" /></Relationships>
</file>

<file path=xl/worksheets/sheet1.xml><?xml version="1.0" encoding="utf-8"?>
<x:worksheet xmlns:x="http://schemas.openxmlformats.org/spreadsheetml/2006/main">
  <x:sheetPr>
    <x:tabColor rgb="FF1F4E79"/>
  </x:sheetPr>
  <x:sheetViews>
    <x:sheetView showGridLines="0" workbookViewId="0">
      <x:pane ySplit="1" topLeftCell="A2" activePane="bottomLeft" state="frozen"/>
    </x:sheetView>
  </x:sheetViews>
  <x:sheetFormatPr defaultRowHeight="14"/>
  <x:cols>
    <x:col min="1" max="1" width="7" style="8" customWidth="1"/>
    <x:col min="2" max="2" width="71.58203125" style="8" customWidth="1"/>
    <x:col min="3" max="3" width="22" style="8" customWidth="1"/>
    <x:col min="4" max="4" width="14.4140625" style="8" customWidth="1"/>
    <x:col min="5" max="5" width="70.9140625" style="8" customWidth="1"/>
    <x:col min="6" max="6" width="16.83203125" style="8" customWidth="1"/>
    <x:col min="7" max="7" width="88" style="8" customWidth="1"/>
    <x:col min="8" max="8" width="45.1640625" style="8" customWidth="1"/>
    <x:col min="9" max="16384" width="8.6640625" style="8" customWidth="0"/>
  </x:cols>
  <x:sheetData>
    <x:row r="1" s="4" customFormat="1" ht="15" customHeight="1">
      <x:c r="A1" s="17" t="str">
        <x:v>ID</x:v>
      </x:c>
      <x:c r="B1" s="17" t="str">
        <x:v>Requirement</x:v>
      </x:c>
      <x:c r="C1" s="17" t="str">
        <x:v>Source</x:v>
      </x:c>
      <x:c r="D1" s="17" t="str">
        <x:v>MVP Status</x:v>
      </x:c>
      <x:c r="E1" s="17" t="str">
        <x:v>Implementation / Component</x:v>
      </x:c>
      <x:c r="F1" s="17" t="str">
        <x:v>Related File</x:v>
      </x:c>
      <x:c r="G1" s="17" t="str">
        <x:v>Test / Evidence</x:v>
      </x:c>
      <x:c r="H1" s="17" t="str">
        <x:v>Status</x:v>
      </x:c>
    </x:row>
    <x:row r="2" s="4" customFormat="1" ht="32.400001525878906" customHeight="1">
      <x:c r="A2" s="17" t="str">
        <x:v>1</x:v>
      </x:c>
      <x:c r="B2" s="17" t="str">
        <x:v>The system shall capture annual operating costs for each costing case, including staffing, maintenance, materials, software, utilities, compliance and other operating categories.</x:v>
      </x:c>
      <x:c r="C2" s="17" t="str">
        <x:v>BR-01; S1; S2; S5; S8</x:v>
      </x:c>
      <x:c r="D2" s="17" t="str">
        <x:v>MVP</x:v>
      </x:c>
      <x:c r="E2" s="17" t="str">
        <x:v>CaseWizard cost and income step; costs API route; cost_lines table.</x:v>
      </x:c>
      <x:c r="F2" s="28" t="e">
        <x:f>HYPERLINK("#'Evidence Links'!A1","Issue #45; Issue #46; PR #14; PR #37; PR #51")</x:f>
        <x:v>HYPERLINK is not implemented. linkLocation=#'Evidence Links'!A1, friendlyName=Issue #45; Issue #46; PR #14; PR #37; PR #51</x:v>
      </x:c>
      <x:c r="G2" s="17" t="str">
        <x:v>Validation tests cover negative, non-numeric and over-precision costs, plus missing justification.</x:v>
      </x:c>
      <x:c r="H2" s="17" t="str">
        <x:v>Implemented</x:v>
      </x:c>
    </x:row>
    <x:row r="3" s="4" customFormat="1" ht="21.649999618530273" customHeight="1">
      <x:c r="A3" s="17" t="str">
        <x:v>2</x:v>
      </x:c>
      <x:c r="B3" s="17" t="str">
        <x:v>The system shall support the operating-cost focus and allow equipment replacement or recovery evidence where applicable.</x:v>
      </x:c>
      <x:c r="C3" s="17" t="str">
        <x:v>BR-02; S1; S2; S5; S8</x:v>
      </x:c>
      <x:c r="D3" s="17" t="str">
        <x:v>Future enhancement / outside approved MVP</x:v>
      </x:c>
      <x:c r="E3" s="17" t="str">
        <x:v>Replacement reserve is available as a cost category; cost_lines table stores the amount and justification.</x:v>
      </x:c>
      <x:c r="F3" s="28" t="e">
        <x:f>HYPERLINK("#'Evidence Links'!A1","Issue #45; Issue #46")</x:f>
        <x:v>HYPERLINK is not implemented. linkLocation=#'Evidence Links'!A1, friendlyName=Issue #45; Issue #46</x:v>
      </x:c>
      <x:c r="G3" s="17" t="str">
        <x:v>Code review evidence only. No replacement timing or recovery-period calculation test was found. Client-approved MVP agreement classifies equipment replacement/recovery as a future enhancement unless later confirmed as essential.</x:v>
      </x:c>
      <x:c r="H3" s="17" t="str">
        <x:v>Future enhancement; not required for the approved MVP</x:v>
      </x:c>
    </x:row>
    <x:row r="4" s="4" customFormat="1" ht="21.649999618530273" customHeight="1">
      <x:c r="A4" s="17" t="str">
        <x:v>3</x:v>
      </x:c>
      <x:c r="B4" s="17" t="str">
        <x:v>The system shall record non-variable operating income or support separately from user fees.</x:v>
      </x:c>
      <x:c r="C4" s="17" t="str">
        <x:v>BR-03; S1; S2; S5; S8</x:v>
      </x:c>
      <x:c r="D4" s="17" t="str">
        <x:v>MVP</x:v>
      </x:c>
      <x:c r="E4" s="17" t="str">
        <x:v>CaseWizard income inputs; income API route; income_lines table; calculation support allocation.</x:v>
      </x:c>
      <x:c r="F4" s="28" t="e">
        <x:f>HYPERLINK("#'Evidence Links'!A1","Issue #45; Issue #46; PR #14; PR #37; PR #51")</x:f>
        <x:v>HYPERLINK is not implemented. linkLocation=#'Evidence Links'!A1, friendlyName=Issue #45; Issue #46; PR #14; PR #37; PR #51</x:v>
      </x:c>
      <x:c r="G4" s="17" t="str">
        <x:v>Validation tests cover negative income. UI wording states recurrent support only and excludes user fees.</x:v>
      </x:c>
      <x:c r="H4" s="17" t="str">
        <x:v>Implemented</x:v>
      </x:c>
    </x:row>
    <x:row r="5" s="4" customFormat="1" ht="21.649999618530273" customHeight="1">
      <x:c r="A5" s="17" t="str">
        <x:v>4</x:v>
      </x:c>
      <x:c r="B5" s="17" t="str">
        <x:v> The system shall capture a consistent billable unit for each capability, such as hour, day or sample.</x:v>
      </x:c>
      <x:c r="C5" s="17" t="str">
        <x:v>BR-04; S1; S2; S5; S8</x:v>
      </x:c>
      <x:c r="D5" s="17" t="str">
        <x:v>MVP</x:v>
      </x:c>
      <x:c r="E5" s="17" t="str">
        <x:v>CaseWizard capabilities step; capabilities API route; capability schema.</x:v>
      </x:c>
      <x:c r="F5" s="28" t="e">
        <x:f>HYPERLINK("#'Evidence Links'!A1","Issue #45; Issue #46; PR #14; PR #38")</x:f>
        <x:v>HYPERLINK is not implemented. linkLocation=#'Evidence Links'!A1, friendlyName=Issue #45; Issue #46; PR #14; PR #38</x:v>
      </x:c>
      <x:c r="G5" s="17" t="str">
        <x:v>Validation tests cover valid capabilities, empty list, invalid unit and short names.</x:v>
      </x:c>
      <x:c r="H5" s="17" t="str">
        <x:v>Implemented</x:v>
      </x:c>
    </x:row>
    <x:row r="6" s="4" customFormat="1" ht="21.649999618530273" customHeight="1">
      <x:c r="A6" s="17" t="str">
        <x:v>5</x:v>
      </x:c>
      <x:c r="B6" s="17" t="str">
        <x:v>The system shall capture realistic available capacity rather than theoretical calendar capacity.</x:v>
      </x:c>
      <x:c r="C6" s="17" t="str">
        <x:v>BR-05; S1; S2; S5; S8</x:v>
      </x:c>
      <x:c r="D6" s="17" t="str">
        <x:v>MVP</x:v>
      </x:c>
      <x:c r="E6" s="17" t="str">
        <x:v>CaseWizard capacity step; capacity API route; capacity_plans table.</x:v>
      </x:c>
      <x:c r="F6" s="28" t="e">
        <x:f>HYPERLINK("#'Evidence Links'!A1","Issue #45; Issue #46; PR #14")</x:f>
        <x:v>HYPERLINK is not implemented. linkLocation=#'Evidence Links'!A1, friendlyName=Issue #45; Issue #46; PR #14</x:v>
      </x:c>
      <x:c r="G6" s="17" t="str">
        <x:v>Validation tests cover negative capacity, utilisation above 100% and zero forecast units.</x:v>
      </x:c>
      <x:c r="H6" s="17" t="str">
        <x:v>Implemented</x:v>
      </x:c>
    </x:row>
    <x:row r="7" s="4" customFormat="1" ht="21.649999618530273" customHeight="1">
      <x:c r="A7" s="17" t="str">
        <x:v>6</x:v>
      </x:c>
      <x:c r="B7" s="17" t="str">
        <x:v>The system shall capture historical utilisation and forecast utilisation, then use the forecast utilisation to calculate forecast billable units.</x:v>
      </x:c>
      <x:c r="C7" s="17" t="str">
        <x:v>BR-06; S1; S2; S5; S8</x:v>
      </x:c>
      <x:c r="D7" s="17" t="str">
        <x:v>MVP</x:v>
      </x:c>
      <x:c r="E7" s="17" t="str">
        <x:v>CaseWizard capacity step; calculation engine forecast unit formula.</x:v>
      </x:c>
      <x:c r="F7" s="28" t="e">
        <x:f>HYPERLINK("#'Evidence Links'!A1","Issue #45; Issue #46; PR #14")</x:f>
        <x:v>HYPERLINK is not implemented. linkLocation=#'Evidence Links'!A1, friendlyName=Issue #45; Issue #46; PR #14</x:v>
      </x:c>
      <x:c r="G7" s="17" t="str">
        <x:v>Calculation and validation tests cover utilisation rules and zero-unit rejection.</x:v>
      </x:c>
      <x:c r="H7" s="17" t="str">
        <x:v>Implemented</x:v>
      </x:c>
    </x:row>
    <x:row r="8" s="4" customFormat="1" ht="21.649999618530273" customHeight="1">
      <x:c r="A8" s="17" t="str">
        <x:v>7</x:v>
      </x:c>
      <x:c r="B8" s="17" t="str">
        <x:v>The system shall calculate the UWA researcher charge-out rate using the confirmed RIC formula.</x:v>
      </x:c>
      <x:c r="C8" s="17" t="str">
        <x:v>BR-07; S1; S2; S5; S8</x:v>
      </x:c>
      <x:c r="D8" s="17" t="str">
        <x:v>MVP</x:v>
      </x:c>
      <x:c r="E8" s="17" t="str">
        <x:v>Calculation engine; docs/business-rules.md RATE-UWA-001; StepRates display.</x:v>
      </x:c>
      <x:c r="F8" s="29" t="e">
        <x:f>HYPERLINK("#'Evidence Links'!A1","Issue #45; Issue #46; PR #17")</x:f>
        <x:v>HYPERLINK is not implemented. linkLocation=#'Evidence Links'!A1, friendlyName=Issue #45; Issue #46; PR #17</x:v>
      </x:c>
      <x:c r="G8" s="17" t="str">
        <x:v>verifies the UWA sustainable rate and RIC_FORMULA_V1 version against the reference calculation.</x:v>
      </x:c>
      <x:c r="H8" s="17" t="str">
        <x:v>Implemented</x:v>
      </x:c>
    </x:row>
    <x:row r="9" s="4" customFormat="1" ht="21.649999618530273" customHeight="1">
      <x:c r="A9" s="17" t="str">
        <x:v>8</x:v>
      </x:c>
      <x:c r="B9" s="17" t="str">
        <x:v>The system shall calculate the Australian publicly funded researcher rate using the confirmed formula and 1.35 multiplier.</x:v>
      </x:c>
      <x:c r="C9" s="17" t="str">
        <x:v>BR-08; S1; S2; S5; S8</x:v>
      </x:c>
      <x:c r="D9" s="17" t="str">
        <x:v>MVP</x:v>
      </x:c>
      <x:c r="E9" s="17" t="str">
        <x:v>Calculation engine; StepRates display; docs/business-rules.md RATE-APFR-001.</x:v>
      </x:c>
      <x:c r="F9" s="29" t="e">
        <x:f>HYPERLINK("#'Evidence Links'!A1","Issue #45; Issue #46; PR #17")</x:f>
        <x:v>HYPERLINK is not implemented. linkLocation=#'Evidence Links'!A1, friendlyName=Issue #45; Issue #46; PR #17</x:v>
      </x:c>
      <x:c r="G9" s="17" t="str">
        <x:v>verifies the APFR sustainable rate and that UWA support does not reduce the APFR recovery target. Final APFR/PFR/PFRI terminology still requires client confirmation.</x:v>
      </x:c>
      <x:c r="H9" s="17" t="str">
        <x:v>Implemented with terminology clarification pending</x:v>
      </x:c>
    </x:row>
    <x:row r="10" s="4" customFormat="1" ht="21.649999618530273" customHeight="1">
      <x:c r="A10" s="17" t="str">
        <x:v>9</x:v>
      </x:c>
      <x:c r="B10" s="17" t="str">
        <x:v>The system shall calculate the commercial charge-out rate using total operating cost and the 1.35 multiplier.</x:v>
      </x:c>
      <x:c r="C10" s="17" t="str">
        <x:v>BR-09; S1; S2; S5; S8</x:v>
      </x:c>
      <x:c r="D10" s="17" t="str">
        <x:v>MVP</x:v>
      </x:c>
      <x:c r="E10" s="17" t="str">
        <x:v>Calculation engine; StepRates display; docs/business-rules.md RATE-COM-001.</x:v>
      </x:c>
      <x:c r="F10" s="29" t="e">
        <x:f>HYPERLINK("#'Evidence Links'!A1","Issue #45; Issue #46; PR #17")</x:f>
        <x:v>HYPERLINK is not implemented. linkLocation=#'Evidence Links'!A1, friendlyName=Issue #45; Issue #46; PR #17</x:v>
      </x:c>
      <x:c r="G10" s="17" t="str">
        <x:v>verifies the Commercial sustainable rate and confirms that UWA operating support does not reduce the Commercial rate.</x:v>
      </x:c>
      <x:c r="H10" s="17" t="str">
        <x:v>Implemented</x:v>
      </x:c>
    </x:row>
    <x:row r="11" s="4" customFormat="1" ht="21.649999618530273" customHeight="1">
      <x:c r="A11" s="17" t="str">
        <x:v>10</x:v>
      </x:c>
      <x:c r="B11" s="17" t="str">
        <x:v>The system shall apply and expose the 35 percent indirect-cost recovery uplift where applicable.</x:v>
      </x:c>
      <x:c r="C11" s="17" t="str">
        <x:v>BR-10; S1; S2; S5; S8</x:v>
      </x:c>
      <x:c r="D11" s="17" t="str">
        <x:v>MVP</x:v>
      </x:c>
      <x:c r="E11" s="17" t="str">
        <x:v>Calculation engine overhead components; docs/business-rules.md OVERHEAD-001.</x:v>
      </x:c>
      <x:c r="F11" s="29" t="e">
        <x:f>HYPERLINK("#'Evidence Links'!A1","Issue #45; Issue #46; PR #17")</x:f>
        <x:v>HYPERLINK is not implemented. linkLocation=#'Evidence Links'!A1, friendlyName=Issue #45; Issue #46; PR #17</x:v>
      </x:c>
      <x:c r="G11" s="17" t="str">
        <x:v>verifies the APFR and Commercial overhead components produced by the 35% uplift. Any exceptions or applicability rules still require client confirmation.</x:v>
      </x:c>
      <x:c r="H11" s="17" t="str">
        <x:v>Implemented with applicability clarification pending</x:v>
      </x:c>
    </x:row>
    <x:row r="12" s="4" customFormat="1" ht="19.25" customHeight="1">
      <x:c r="A12" s="17" t="str">
        <x:v>11</x:v>
      </x:c>
      <x:c r="B12" s="17" t="str">
        <x:v>The system shall treat calculated rates as GST exclusive and keep GST separate from facility operating recovery.</x:v>
      </x:c>
      <x:c r="C12" s="17" t="str">
        <x:v>BR-11; S1; S5; S8</x:v>
      </x:c>
      <x:c r="D12" s="17" t="str">
        <x:v>MVP</x:v>
      </x:c>
      <x:c r="E12" s="17" t="str">
        <x:v>Dashboard formula banner; CaseWizard cost wording; docs/business-rules.md GST-001.</x:v>
      </x:c>
      <x:c r="F12" s="29" t="e">
        <x:f>HYPERLINK("#'Evidence Links'!A1","Issue #45; Issue #46; PR #17; PR #23")</x:f>
        <x:v>HYPERLINK is not implemented. linkLocation=#'Evidence Links'!A1, friendlyName=Issue #45; Issue #46; PR #17; PR #23</x:v>
      </x:c>
      <x:c r="G12" s="17" t="str">
        <x:v>verifies that the Commercial rate remains GST-exclusive and does not use the GST-inclusive result. Exact PDF/CSV GST wording still requires client confirmation.</x:v>
      </x:c>
      <x:c r="H12" s="17" t="str">
        <x:v>Implemented with wording clarification pending</x:v>
      </x:c>
    </x:row>
    <x:row r="13" s="4" customFormat="1" ht="19.25" customHeight="1">
      <x:c r="A13" s="17" t="str">
        <x:v>12</x:v>
      </x:c>
      <x:c r="B13" s="17" t="str">
        <x:v>The system shall record benchmarking requirements and unresolved benchmarking implementation details.</x:v>
      </x:c>
      <x:c r="C13" s="17" t="str">
        <x:v>BR-12; BR-19; S1; S2; S5; S8</x:v>
      </x:c>
      <x:c r="D13" s="17" t="str">
        <x:v>MVP benchmarking support and recording; exact fields, retention behaviour and mandatory-record requirement pending client clarification</x:v>
      </x:c>
      <x:c r="E13" s="17" t="str">
        <x:v>benchmarks table; Benchmark type; repository aggregate read support.</x:v>
      </x:c>
      <x:c r="F13" s="28" t="e">
        <x:f>HYPERLINK("#'Evidence Links'!A1","Issue #45; Issue #46")</x:f>
        <x:v>HYPERLINK is not implemented. linkLocation=#'Evidence Links'!A1, friendlyName=Issue #45; Issue #46</x:v>
      </x:c>
      <x:c r="G13" s="17" t="str">
        <x:v>Benchmark-related data structures exist, but no complete entry, save and review workflow or automated benchmark coverage was found. Benchmarking support and recording are part of the approved MVP; the exact fields, retention behaviour and whether a record is mandatory before review or submission remain pending client clarification.</x:v>
      </x:c>
      <x:c r="H13" s="17" t="str">
        <x:v>Partially satisfied; benchmarking support is in the MVP, but the final record structure, retention behaviour and mandatory workflow are not confirmed</x:v>
      </x:c>
    </x:row>
    <x:row r="14" s="4" customFormat="1" ht="28.75" customHeight="1">
      <x:c r="A14" s="17" t="str">
        <x:v>13</x:v>
      </x:c>
      <x:c r="B14" s="17" t="str">
        <x:v>The system shall retain approval evidence, including assumptions, calculation outputs, snapshots and audit information.</x:v>
      </x:c>
      <x:c r="C14" s="17" t="str">
        <x:v>BR-13; S1; S5; S8</x:v>
      </x:c>
      <x:c r="D14" s="17" t="str">
        <x:v>MVP supporting review information; detailed review/audit behaviour pending client clarification; full digital approval workflow is a future enhancement</x:v>
      </x:c>
      <x:c r="E14" s="17" t="str">
        <x:v>Review step; calculation snapshots; audit_events table; status API route.</x:v>
      </x:c>
      <x:c r="F14" s="28" t="e">
        <x:f>HYPERLINK("#'Evidence Links'!A1","Issue #45; Issue #46; PR #34; PR #36; PR #40; PR #50; PR #52; PR #53")</x:f>
        <x:v>HYPERLINK is not implemented. linkLocation=#'Evidence Links'!A1, friendlyName=Issue #45; Issue #46; PR #34; PR #36; PR #40; PR #50; PR #52; PR #53</x:v>
      </x:c>
      <x:c r="G14" s="17" t="str">
        <x:v>The application stores calculation snapshots and audit events, blocks submission or approval when the latest snapshot is stale, restricts approval to the Reviewer role and provides Audit History navigation. Evidence: PRs #34, #36, #40, #50, #52 and #53. Exact retained events, fields and history display behaviour still require client clarification.</x:v>
      </x:c>
      <x:c r="H14" s="17" t="str">
        <x:v>Implemented for MVP review evidence; detailed audit-history behaviour pending; full digital approval workflow is a future enhancement</x:v>
      </x:c>
    </x:row>
    <x:row r="15" s="4" customFormat="1" ht="28.75" customHeight="1">
      <x:c r="A15" s="17" t="str">
        <x:v>14</x:v>
      </x:c>
      <x:c r="B15" s="17" t="str">
        <x:v>The system shall support clear rate communication through exportable summaries.</x:v>
      </x:c>
      <x:c r="C15" s="17" t="str">
        <x:v>BR-14; BR-20; S1; S3; S4; S5; S8</x:v>
      </x:c>
      <x:c r="D15" s="17" t="str">
        <x:v>MVP supporting output; communication workflow is a future enhancement</x:v>
      </x:c>
      <x:c r="E15" s="17" t="str">
        <x:v>Review step export links; PDF report route; CSV export route.</x:v>
      </x:c>
      <x:c r="F15" s="29" t="e">
        <x:f>HYPERLINK("#'Evidence Links'!A1","Issue #45; Issue #46; PR #14; PR #23; PR #52")</x:f>
        <x:v>HYPERLINK is not implemented. linkLocation=#'Evidence Links'!A1, friendlyName=Issue #45; Issue #46; PR #14; PR #23; PR #52</x:v>
      </x:c>
      <x:c r="G15" s="17" t="str">
        <x:v>https://github.com/Roshss2508/CITS_5206_Proj11_Capstone/pull/14 Existing PDF/CSV tests and export implementation provide evidence; the agreement lists automated communication as a future enhancement.</x:v>
      </x:c>
      <x:c r="H15" s="17" t="str">
        <x:v>PDF and CSV output are implemented; communication workflow is a future enhancement</x:v>
      </x:c>
    </x:row>
    <x:row r="16" s="4" customFormat="1" ht="21.649999618530273" customHeight="1">
      <x:c r="A16" s="17" t="str">
        <x:v>15</x:v>
      </x:c>
      <x:c r="B16" s="17" t="str">
        <x:v>The system shall allocate shared or platform-level costs to active capabilities using a defined allocation rule.</x:v>
      </x:c>
      <x:c r="C16" s="17" t="str">
        <x:v>BR-15; S1; S2; S5; S8</x:v>
      </x:c>
      <x:c r="D16" s="17" t="str">
        <x:v>MVP calculation dependency; allocation method pending client clarification</x:v>
      </x:c>
      <x:c r="E16" s="17" t="str">
        <x:v>Calculation engine equal allocation; CaseWizard capability guidance; docs/business-rules.md COST-ALLOC-001.</x:v>
      </x:c>
      <x:c r="F16" s="28" t="e">
        <x:f>HYPERLINK("#'Evidence Links'!A1","Issue #45; Issue #46; PR #17")</x:f>
        <x:v>HYPERLINK is not implemented. linkLocation=#'Evidence Links'!A1, friendlyName=Issue #45; Issue #46; PR #17</x:v>
      </x:c>
      <x:c r="G16" s="17" t="str">
        <x:v>Calculation test covers platform costs across multiple capabilities. Final allocation driver is still a client decision. Business Rule Analysis and the client-approved agreement both leave the shared/platform allocation method pending clarification.</x:v>
      </x:c>
      <x:c r="H16" s="17" t="str">
        <x:v>Partially satisfied; final shared-cost allocation method requires client clarification</x:v>
      </x:c>
    </x:row>
    <x:row r="17" s="4" customFormat="1" ht="21.649999618530273" customHeight="1">
      <x:c r="A17" s="17" t="str">
        <x:v>16</x:v>
      </x:c>
      <x:c r="B17" s="17" t="str">
        <x:v>The system shall allow proposed rates and expected user mix to compare financial recovery against calculated sustainable rates.</x:v>
      </x:c>
      <x:c r="C17" s="17" t="str">
        <x:v>BR-16; S2; S5; S8</x:v>
      </x:c>
      <x:c r="D17" s="17" t="str">
        <x:v>MVP</x:v>
      </x:c>
      <x:c r="E17" s="17" t="str">
        <x:v>StepRates; proposed-rates API route; proposed_rates table; calculation revenue outputs.</x:v>
      </x:c>
      <x:c r="F17" s="28" t="e">
        <x:f>HYPERLINK("#'Evidence Links'!A1","Issue #45; Issue #46; PR #1")</x:f>
        <x:v>HYPERLINK is not implemented. linkLocation=#'Evidence Links'!A1, friendlyName=Issue #45; Issue #46; PR #1</x:v>
      </x:c>
      <x:c r="G17" s="17" t="str">
        <x:v>Validation tests check user shares total 100 percent and allow blank proposed rates. Git history references PR 1 Step 4 fix.</x:v>
      </x:c>
      <x:c r="H17" s="17" t="str">
        <x:v>Implemented</x:v>
      </x:c>
    </x:row>
    <x:row r="18" s="4" customFormat="1" ht="21.649999618530273" customHeight="1">
      <x:c r="A18" s="17" t="str">
        <x:v>17</x:v>
      </x:c>
      <x:c r="B18" s="17" t="str">
        <x:v>The system shall keep calculation behaviour aligned with the confirmed rule set and retain formula version traceability.</x:v>
      </x:c>
      <x:c r="C18" s="17" t="str">
        <x:v>BR-17; S1; S2; S5; S8</x:v>
      </x:c>
      <x:c r="D18" s="17" t="str">
        <x:v>MVP</x:v>
      </x:c>
      <x:c r="E18" s="17" t="str">
        <x:v>Calculation engine FORMULA_VERSION; calculation snapshots store formula version.</x:v>
      </x:c>
      <x:c r="F18" s="28" t="e">
        <x:f>HYPERLINK("#'Evidence Links'!A1","Issue #45; Issue #46; PR #17; PR #34")</x:f>
        <x:v>HYPERLINK is not implemented. linkLocation=#'Evidence Links'!A1, friendlyName=Issue #45; Issue #46; PR #17; PR #34</x:v>
      </x:c>
      <x:c r="G18" s="17" t="str">
        <x:v>Golden calculation test checks formula version. Snapshot design retains formula version with outputs.</x:v>
      </x:c>
      <x:c r="H18" s="17" t="str">
        <x:v>Implemented</x:v>
      </x:c>
    </x:row>
    <x:row r="19" s="4" customFormat="1" ht="21.649999618530273" customHeight="1">
      <x:c r="A19" s="17" t="str">
        <x:v>18</x:v>
      </x:c>
      <x:c r="B19" s="17" t="str">
        <x:v>The system shall keep justifications and evidence traceable to source material, implementation evidence or client clarification.</x:v>
      </x:c>
      <x:c r="C19" s="17" t="str">
        <x:v>BR-18; S7; S5; S6; S8</x:v>
      </x:c>
      <x:c r="D19" s="17" t="str">
        <x:v>MVP</x:v>
      </x:c>
      <x:c r="E19" s="17" t="str">
        <x:v>Source IDs in documents; justification fields in costs, income, capacity and proposed rates; validation schema.</x:v>
      </x:c>
      <x:c r="F19" s="28" t="e">
        <x:f>HYPERLINK("#'Evidence Links'!A1","Issue #45; Issue #46; PR #14; PR #16")</x:f>
        <x:v>HYPERLINK is not implemented. linkLocation=#'Evidence Links'!A1, friendlyName=Issue #45; Issue #46; PR #14; PR #16</x:v>
      </x:c>
      <x:c r="G19" s="17" t="str">
        <x:v>Validation tests cover missing cost justification. Broader evidence attachments are not implemented.</x:v>
      </x:c>
      <x:c r="H19" s="17" t="str">
        <x:v>Implemented for notes and source traceability; attachments pending if required</x:v>
      </x:c>
    </x:row>
    <x:row r="20" s="4" customFormat="1" ht="28.75" customHeight="1">
      <x:c r="A20" s="17" t="str">
        <x:v>19</x:v>
      </x:c>
      <x:c r="B20" s="17" t="str">
        <x:v>The system shall persist benchmark data if benchmark records are required for approval.</x:v>
      </x:c>
      <x:c r="C20" s="17" t="str">
        <x:v>BR-19; S1; S2; S5; S8</x:v>
      </x:c>
      <x:c r="D20" s="17" t="str">
        <x:v>MVP benchmarking support and recording; record structure, retention and mandatory-record requirement pending client clarification</x:v>
      </x:c>
      <x:c r="E20" s="17" t="str">
        <x:v>benchmarks table and type exist; repository can read benchmark data in aggregate.</x:v>
      </x:c>
      <x:c r="F20" s="28" t="e">
        <x:f>HYPERLINK("#'Evidence Links'!A1","Issue #45; Issue #46")</x:f>
        <x:v>HYPERLINK is not implemented. linkLocation=#'Evidence Links'!A1, friendlyName=Issue #45; Issue #46</x:v>
      </x:c>
      <x:c r="G20" s="17" t="str">
        <x:v>Repository review found benchmark-related data structures and aggregate reads, but no complete save flow, user interface or automated test. The exact fields, retention behaviour and whether a benchmark record is mandatory before review or submission remain pending client clarification.</x:v>
      </x:c>
      <x:c r="H20" s="17" t="str">
        <x:v>Partially satisfied; benchmark recording is not complete, and the final fields, retention behaviour and mandatory-record requirement remain pending client clarification</x:v>
      </x:c>
    </x:row>
    <x:row r="21" s="4" customFormat="1" ht="28.75" customHeight="1">
      <x:c r="A21" s="17" t="str">
        <x:v>20</x:v>
      </x:c>
      <x:c r="B21" s="17" t="str">
        <x:v>The system shall provide exportable PDF and CSV outputs for approval, communication and audit records.</x:v>
      </x:c>
      <x:c r="C21" s="17" t="str">
        <x:v>BR-20; S1; S3; S4; S5; S8</x:v>
      </x:c>
      <x:c r="D21" s="17" t="str">
        <x:v>MVP supporting output; final format and required fields pending client clarification</x:v>
      </x:c>
      <x:c r="E21" s="17" t="str">
        <x:v>PDF report route; CSV export route; Review step export buttons.</x:v>
      </x:c>
      <x:c r="F21" s="29" t="e">
        <x:f>HYPERLINK("#'Evidence Links'!A1","Issue #45; Issue #46; PR #14; PR #23; PR #52")</x:f>
        <x:v>HYPERLINK is not implemented. linkLocation=#'Evidence Links'!A1, friendlyName=Issue #45; Issue #46; PR #14; PR #23; PR #52</x:v>
      </x:c>
      <x:c r="G21" s="21" t="str">
        <x:v>https://github.com/Roshss2508/CITS_5206_Proj11_Capstone/pull/14 PDF/CSV export evidence exists; the agreement leaves final output format and required retained fields for client confirmation.</x:v>
      </x:c>
      <x:c r="H21" s="17" t="str">
        <x:v>Partially satisfied; PDF and CSV are available, while the final retained format and required fields need client confirmation</x:v>
      </x:c>
    </x:row>
    <x:row r="22">
      <x:c r="A22" s="6"/>
      <x:c r="B22" s="6"/>
      <x:c r="C22" s="7"/>
      <x:c r="D22" s="7"/>
      <x:c r="E22" s="7"/>
      <x:c r="F22" s="7"/>
      <x:c r="G22" s="7"/>
      <x:c r="H22" s="7"/>
    </x:row>
    <x:row r="23">
      <x:c r="A23" s="7"/>
      <x:c r="B23" s="7"/>
      <x:c r="C23" s="7"/>
      <x:c r="D23" s="7"/>
      <x:c r="E23" s="7"/>
      <x:c r="F23" s="7"/>
      <x:c r="G23" s="7"/>
      <x:c r="H23" s="7"/>
    </x:row>
    <x:row r="25">
      <x:c r="A25" s="7"/>
      <x:c r="B25" s="7"/>
      <x:c r="C25" s="7"/>
      <x:c r="D25" s="7"/>
      <x:c r="E25" s="7"/>
      <x:c r="F25" s="7"/>
      <x:c r="G25" s="7"/>
      <x:c r="H25" s="7"/>
    </x:row>
    <x:row r="26">
      <x:c r="A26" s="7"/>
      <x:c r="B26" s="7"/>
      <x:c r="C26" s="7"/>
      <x:c r="D26" s="7"/>
      <x:c r="E26" s="7"/>
      <x:c r="F26" s="7"/>
      <x:c r="G26" s="7"/>
      <x:c r="H26" s="7"/>
    </x:row>
    <x:row r="27">
      <x:c r="A27" s="7"/>
      <x:c r="B27" s="7"/>
      <x:c r="C27" s="7"/>
      <x:c r="D27" s="7"/>
      <x:c r="E27" s="7"/>
      <x:c r="F27" s="7"/>
      <x:c r="G27" s="7"/>
      <x:c r="H27" s="7"/>
    </x:row>
    <x:row r="28">
      <x:c r="A28" s="7"/>
      <x:c r="B28" s="7"/>
      <x:c r="C28" s="7"/>
      <x:c r="D28" s="7"/>
      <x:c r="E28" s="7"/>
      <x:c r="F28" s="7"/>
      <x:c r="G28" s="7"/>
      <x:c r="H28" s="7"/>
    </x:row>
    <x:row r="29">
      <x:c r="A29" s="7"/>
      <x:c r="B29" s="7"/>
      <x:c r="C29" s="7"/>
      <x:c r="D29" s="7"/>
      <x:c r="E29" s="7"/>
      <x:c r="F29" s="7"/>
      <x:c r="G29" s="7"/>
      <x:c r="H29" s="7"/>
    </x:row>
    <x:row r="30">
      <x:c r="A30" s="7"/>
      <x:c r="B30" s="7"/>
      <x:c r="C30" s="7"/>
      <x:c r="D30" s="7"/>
      <x:c r="E30" s="7"/>
      <x:c r="F30" s="7"/>
      <x:c r="G30" s="7"/>
      <x:c r="H30" s="7"/>
    </x:row>
    <x:row r="31">
      <x:c r="A31" s="7"/>
      <x:c r="B31" s="7"/>
      <x:c r="C31" s="7"/>
      <x:c r="D31" s="7"/>
      <x:c r="E31" s="7"/>
      <x:c r="F31" s="7"/>
      <x:c r="G31" s="7"/>
      <x:c r="H31" s="7"/>
    </x:row>
    <x:row r="32">
      <x:c r="A32" s="7"/>
      <x:c r="B32" s="7"/>
      <x:c r="C32" s="7"/>
      <x:c r="D32" s="7"/>
      <x:c r="E32" s="7"/>
      <x:c r="F32" s="7"/>
      <x:c r="G32" s="7"/>
      <x:c r="H32" s="7"/>
    </x:row>
    <x:row r="33">
      <x:c r="A33" s="7"/>
      <x:c r="B33" s="7"/>
      <x:c r="C33" s="7"/>
      <x:c r="D33" s="7"/>
      <x:c r="E33" s="7"/>
      <x:c r="F33" s="7"/>
      <x:c r="G33" s="7"/>
      <x:c r="H33" s="7"/>
    </x:row>
    <x:row r="34">
      <x:c r="A34" s="7"/>
      <x:c r="B34" s="7"/>
      <x:c r="C34" s="7"/>
      <x:c r="D34" s="7"/>
      <x:c r="E34" s="7"/>
      <x:c r="F34" s="7"/>
      <x:c r="G34" s="7"/>
      <x:c r="H34" s="7"/>
    </x:row>
    <x:row r="35">
      <x:c r="A35" s="7"/>
      <x:c r="B35" s="7"/>
      <x:c r="C35" s="7"/>
      <x:c r="D35" s="7"/>
      <x:c r="E35" s="7"/>
      <x:c r="F35" s="7"/>
      <x:c r="G35" s="7"/>
      <x:c r="H35" s="7"/>
    </x:row>
    <x:row r="36">
      <x:c r="A36" s="7"/>
      <x:c r="B36" s="7"/>
      <x:c r="C36" s="7"/>
      <x:c r="D36" s="7"/>
      <x:c r="E36" s="7"/>
      <x:c r="F36" s="7"/>
      <x:c r="G36" s="7"/>
      <x:c r="H36" s="7"/>
    </x:row>
    <x:row r="37">
      <x:c r="A37" s="7"/>
      <x:c r="B37" s="7"/>
      <x:c r="C37" s="7"/>
      <x:c r="D37" s="7"/>
      <x:c r="E37" s="7"/>
      <x:c r="F37" s="7"/>
      <x:c r="G37" s="7"/>
      <x:c r="H37" s="7"/>
    </x:row>
    <x:row r="38">
      <x:c r="A38" s="7"/>
      <x:c r="B38" s="7"/>
      <x:c r="C38" s="7"/>
      <x:c r="D38" s="7"/>
      <x:c r="E38" s="7"/>
      <x:c r="F38" s="7"/>
      <x:c r="G38" s="7"/>
      <x:c r="H38" s="7"/>
    </x:row>
    <x:row r="39">
      <x:c r="A39" s="7"/>
      <x:c r="B39" s="7"/>
      <x:c r="C39" s="7"/>
      <x:c r="D39" s="7"/>
      <x:c r="E39" s="7"/>
      <x:c r="F39" s="7"/>
      <x:c r="G39" s="7"/>
      <x:c r="H39" s="7"/>
    </x:row>
    <x:row r="40">
      <x:c r="A40" s="7"/>
      <x:c r="B40" s="7"/>
      <x:c r="C40" s="7"/>
      <x:c r="D40" s="7"/>
      <x:c r="E40" s="7"/>
      <x:c r="F40" s="7"/>
      <x:c r="G40" s="7"/>
      <x:c r="H40" s="7"/>
    </x:row>
    <x:row r="41">
      <x:c r="A41" s="7"/>
      <x:c r="B41" s="7"/>
      <x:c r="C41" s="7"/>
      <x:c r="D41" s="7"/>
      <x:c r="E41" s="7"/>
      <x:c r="F41" s="7"/>
      <x:c r="G41" s="7"/>
      <x:c r="H41" s="7"/>
    </x:row>
    <x:row r="42">
      <x:c r="A42" s="7"/>
      <x:c r="B42" s="7"/>
      <x:c r="C42" s="7"/>
      <x:c r="D42" s="7"/>
      <x:c r="E42" s="7"/>
      <x:c r="F42" s="7"/>
      <x:c r="G42" s="7"/>
      <x:c r="H42" s="7"/>
    </x:row>
    <x:row r="43">
      <x:c r="A43" s="7"/>
      <x:c r="B43" s="7"/>
      <x:c r="C43" s="7"/>
      <x:c r="D43" s="7"/>
      <x:c r="E43" s="7"/>
      <x:c r="F43" s="7"/>
      <x:c r="G43" s="7"/>
      <x:c r="H43" s="7"/>
    </x:row>
    <x:row r="44">
      <x:c r="A44" s="7"/>
      <x:c r="B44" s="7"/>
      <x:c r="C44" s="7"/>
      <x:c r="D44" s="7"/>
      <x:c r="E44" s="7"/>
      <x:c r="F44" s="7"/>
      <x:c r="G44" s="7"/>
      <x:c r="H44" s="7"/>
    </x:row>
    <x:row r="45">
      <x:c r="A45" s="7"/>
      <x:c r="B45" s="7"/>
      <x:c r="C45" s="7"/>
      <x:c r="D45" s="7"/>
      <x:c r="E45" s="7"/>
      <x:c r="F45" s="7"/>
      <x:c r="G45" s="7"/>
      <x:c r="H45" s="7"/>
    </x:row>
    <x:row r="46">
      <x:c r="A46" s="7"/>
      <x:c r="B46" s="7"/>
      <x:c r="C46" s="7"/>
      <x:c r="D46" s="7"/>
      <x:c r="E46" s="7"/>
      <x:c r="F46" s="7"/>
      <x:c r="G46" s="7"/>
      <x:c r="H46" s="7"/>
    </x:row>
    <x:row r="47">
      <x:c r="A47" s="7"/>
      <x:c r="B47" s="7"/>
      <x:c r="C47" s="7"/>
      <x:c r="D47" s="7"/>
      <x:c r="E47" s="7"/>
      <x:c r="F47" s="7"/>
      <x:c r="G47" s="7"/>
      <x:c r="H47" s="7"/>
    </x:row>
    <x:row r="48">
      <x:c r="A48" s="7"/>
      <x:c r="B48" s="7"/>
      <x:c r="C48" s="7"/>
      <x:c r="D48" s="7"/>
      <x:c r="E48" s="7"/>
      <x:c r="F48" s="7"/>
      <x:c r="G48" s="7"/>
      <x:c r="H48" s="7"/>
    </x:row>
    <x:row r="49">
      <x:c r="A49" s="7"/>
      <x:c r="B49" s="7"/>
      <x:c r="C49" s="7"/>
      <x:c r="D49" s="7"/>
      <x:c r="E49" s="7"/>
      <x:c r="F49" s="7"/>
      <x:c r="G49" s="7"/>
      <x:c r="H49" s="7"/>
    </x:row>
    <x:row r="50">
      <x:c r="A50" s="7"/>
      <x:c r="B50" s="7"/>
      <x:c r="C50" s="7"/>
      <x:c r="D50" s="7"/>
      <x:c r="E50" s="7"/>
      <x:c r="F50" s="7"/>
      <x:c r="G50" s="7"/>
      <x:c r="H50" s="7"/>
    </x:row>
    <x:row r="51">
      <x:c r="A51" s="7"/>
      <x:c r="B51" s="7"/>
      <x:c r="C51" s="7"/>
      <x:c r="D51" s="7"/>
      <x:c r="E51" s="7"/>
      <x:c r="F51" s="7"/>
      <x:c r="G51" s="7"/>
      <x:c r="H51" s="7"/>
    </x:row>
    <x:row r="52">
      <x:c r="A52" s="7"/>
      <x:c r="B52" s="7"/>
      <x:c r="C52" s="7"/>
      <x:c r="D52" s="7"/>
      <x:c r="E52" s="7"/>
      <x:c r="F52" s="7"/>
      <x:c r="G52" s="7"/>
      <x:c r="H52" s="7"/>
    </x:row>
    <x:row r="53">
      <x:c r="A53" s="7"/>
      <x:c r="B53" s="7"/>
      <x:c r="C53" s="7"/>
      <x:c r="D53" s="7"/>
      <x:c r="E53" s="7"/>
      <x:c r="F53" s="7"/>
      <x:c r="G53" s="7"/>
      <x:c r="H53" s="7"/>
    </x:row>
    <x:row r="54">
      <x:c r="A54" s="7"/>
      <x:c r="B54" s="7"/>
      <x:c r="C54" s="7"/>
      <x:c r="D54" s="7"/>
      <x:c r="E54" s="7"/>
      <x:c r="F54" s="7"/>
      <x:c r="G54" s="7"/>
      <x:c r="H54" s="7"/>
    </x:row>
    <x:row r="55">
      <x:c r="A55" s="7"/>
      <x:c r="B55" s="7"/>
      <x:c r="C55" s="7"/>
      <x:c r="D55" s="7"/>
      <x:c r="E55" s="7"/>
      <x:c r="F55" s="7"/>
      <x:c r="G55" s="7"/>
      <x:c r="H55" s="7"/>
    </x:row>
    <x:row r="56">
      <x:c r="A56" s="7"/>
      <x:c r="B56" s="7"/>
      <x:c r="C56" s="7"/>
      <x:c r="D56" s="7"/>
      <x:c r="E56" s="7"/>
      <x:c r="F56" s="7"/>
      <x:c r="G56" s="7"/>
      <x:c r="H56" s="7"/>
    </x:row>
    <x:row r="57">
      <x:c r="A57" s="7"/>
      <x:c r="B57" s="7"/>
      <x:c r="C57" s="7"/>
      <x:c r="D57" s="7"/>
      <x:c r="E57" s="7"/>
      <x:c r="F57" s="7"/>
      <x:c r="G57" s="7"/>
      <x:c r="H57" s="7"/>
    </x:row>
    <x:row r="58">
      <x:c r="A58" s="7"/>
      <x:c r="B58" s="7"/>
      <x:c r="C58" s="7"/>
      <x:c r="D58" s="7"/>
      <x:c r="E58" s="7"/>
      <x:c r="F58" s="7"/>
      <x:c r="G58" s="7"/>
      <x:c r="H58" s="7"/>
    </x:row>
    <x:row r="59">
      <x:c r="A59" s="7"/>
      <x:c r="B59" s="7"/>
      <x:c r="C59" s="7"/>
      <x:c r="D59" s="7"/>
      <x:c r="E59" s="7"/>
      <x:c r="F59" s="7"/>
      <x:c r="G59" s="7"/>
      <x:c r="H59" s="7"/>
    </x:row>
    <x:row r="60">
      <x:c r="A60" s="7"/>
      <x:c r="B60" s="7"/>
      <x:c r="C60" s="7"/>
      <x:c r="D60" s="7"/>
      <x:c r="E60" s="7"/>
      <x:c r="F60" s="7"/>
      <x:c r="G60" s="7"/>
      <x:c r="H60" s="7"/>
    </x:row>
    <x:row r="61">
      <x:c r="A61" s="7"/>
      <x:c r="B61" s="7"/>
      <x:c r="C61" s="7"/>
      <x:c r="D61" s="7"/>
      <x:c r="E61" s="7"/>
      <x:c r="F61" s="7"/>
      <x:c r="G61" s="7"/>
      <x:c r="H61" s="7"/>
    </x:row>
    <x:row r="62">
      <x:c r="A62" s="7"/>
      <x:c r="B62" s="7"/>
      <x:c r="C62" s="7"/>
      <x:c r="D62" s="7"/>
      <x:c r="E62" s="7"/>
      <x:c r="F62" s="7"/>
      <x:c r="G62" s="7"/>
      <x:c r="H62" s="7"/>
    </x:row>
    <x:row r="63">
      <x:c r="A63" s="7"/>
      <x:c r="B63" s="7"/>
      <x:c r="C63" s="7"/>
      <x:c r="D63" s="7"/>
      <x:c r="E63" s="7"/>
      <x:c r="F63" s="7"/>
      <x:c r="G63" s="7"/>
      <x:c r="H63" s="7"/>
    </x:row>
    <x:row r="64">
      <x:c r="A64" s="7"/>
      <x:c r="B64" s="7"/>
      <x:c r="C64" s="7"/>
      <x:c r="D64" s="7"/>
      <x:c r="E64" s="7"/>
      <x:c r="F64" s="7"/>
      <x:c r="G64" s="7"/>
      <x:c r="H64" s="7"/>
    </x:row>
    <x:row r="65">
      <x:c r="A65" s="7"/>
      <x:c r="B65" s="7"/>
      <x:c r="C65" s="7"/>
      <x:c r="D65" s="7"/>
      <x:c r="E65" s="7"/>
      <x:c r="F65" s="7"/>
      <x:c r="G65" s="7"/>
      <x:c r="H65" s="7"/>
    </x:row>
    <x:row r="66">
      <x:c r="A66" s="7"/>
      <x:c r="B66" s="7"/>
      <x:c r="C66" s="7"/>
      <x:c r="D66" s="7"/>
      <x:c r="E66" s="7"/>
      <x:c r="F66" s="7"/>
      <x:c r="G66" s="7"/>
      <x:c r="H66" s="7"/>
    </x:row>
    <x:row r="67">
      <x:c r="A67" s="7"/>
      <x:c r="B67" s="7"/>
      <x:c r="C67" s="7"/>
      <x:c r="D67" s="7"/>
      <x:c r="E67" s="7"/>
      <x:c r="F67" s="7"/>
      <x:c r="G67" s="7"/>
      <x:c r="H67" s="7"/>
    </x:row>
    <x:row r="68">
      <x:c r="A68" s="7"/>
      <x:c r="B68" s="7"/>
      <x:c r="C68" s="7"/>
      <x:c r="D68" s="7"/>
      <x:c r="E68" s="7"/>
      <x:c r="F68" s="7"/>
      <x:c r="G68" s="7"/>
      <x:c r="H68" s="7"/>
    </x:row>
    <x:row r="69">
      <x:c r="A69" s="7"/>
      <x:c r="B69" s="7"/>
      <x:c r="C69" s="7"/>
      <x:c r="D69" s="7"/>
      <x:c r="E69" s="7"/>
      <x:c r="F69" s="7"/>
      <x:c r="G69" s="7"/>
      <x:c r="H69" s="7"/>
    </x:row>
    <x:row r="70">
      <x:c r="A70" s="7"/>
      <x:c r="B70" s="7"/>
      <x:c r="C70" s="7"/>
      <x:c r="D70" s="7"/>
      <x:c r="E70" s="7"/>
      <x:c r="F70" s="7"/>
      <x:c r="G70" s="7"/>
      <x:c r="H70" s="7"/>
    </x:row>
    <x:row r="71">
      <x:c r="A71" s="7"/>
      <x:c r="B71" s="7"/>
      <x:c r="C71" s="7"/>
      <x:c r="D71" s="7"/>
      <x:c r="E71" s="7"/>
      <x:c r="F71" s="7"/>
      <x:c r="G71" s="7"/>
      <x:c r="H71" s="7"/>
    </x:row>
    <x:row r="72">
      <x:c r="A72" s="7"/>
      <x:c r="B72" s="7"/>
      <x:c r="C72" s="7"/>
      <x:c r="D72" s="7"/>
      <x:c r="E72" s="7"/>
      <x:c r="F72" s="7"/>
      <x:c r="G72" s="7"/>
      <x:c r="H72" s="7"/>
    </x:row>
    <x:row r="73">
      <x:c r="A73" s="7"/>
      <x:c r="B73" s="7"/>
      <x:c r="C73" s="7"/>
      <x:c r="D73" s="7"/>
      <x:c r="E73" s="7"/>
      <x:c r="F73" s="7"/>
      <x:c r="G73" s="7"/>
      <x:c r="H73" s="7"/>
    </x:row>
    <x:row r="74">
      <x:c r="A74" s="7"/>
      <x:c r="B74" s="7"/>
      <x:c r="C74" s="7"/>
      <x:c r="D74" s="7"/>
      <x:c r="E74" s="7"/>
      <x:c r="F74" s="7"/>
      <x:c r="G74" s="7"/>
      <x:c r="H74" s="7"/>
    </x:row>
    <x:row r="75">
      <x:c r="A75" s="7"/>
      <x:c r="B75" s="7"/>
      <x:c r="C75" s="7"/>
      <x:c r="D75" s="7"/>
      <x:c r="E75" s="7"/>
      <x:c r="F75" s="7"/>
      <x:c r="G75" s="7"/>
      <x:c r="H75" s="7"/>
    </x:row>
    <x:row r="76">
      <x:c r="A76" s="7"/>
      <x:c r="B76" s="7"/>
      <x:c r="C76" s="7"/>
      <x:c r="D76" s="7"/>
      <x:c r="E76" s="7"/>
      <x:c r="F76" s="7"/>
      <x:c r="G76" s="7"/>
      <x:c r="H76" s="7"/>
    </x:row>
    <x:row r="77">
      <x:c r="A77" s="7"/>
      <x:c r="B77" s="7"/>
      <x:c r="C77" s="7"/>
      <x:c r="D77" s="7"/>
      <x:c r="E77" s="7"/>
      <x:c r="F77" s="7"/>
      <x:c r="G77" s="7"/>
      <x:c r="H77" s="7"/>
    </x:row>
    <x:row r="78">
      <x:c r="A78" s="7"/>
      <x:c r="B78" s="7"/>
      <x:c r="C78" s="7"/>
      <x:c r="D78" s="7"/>
      <x:c r="E78" s="7"/>
      <x:c r="F78" s="7"/>
      <x:c r="G78" s="7"/>
      <x:c r="H78" s="7"/>
    </x:row>
    <x:row r="79">
      <x:c r="A79" s="7"/>
      <x:c r="B79" s="7"/>
      <x:c r="C79" s="7"/>
      <x:c r="D79" s="7"/>
      <x:c r="E79" s="7"/>
      <x:c r="F79" s="7"/>
      <x:c r="G79" s="7"/>
      <x:c r="H79" s="7"/>
    </x:row>
    <x:row r="80">
      <x:c r="A80" s="7"/>
      <x:c r="B80" s="7"/>
      <x:c r="C80" s="7"/>
      <x:c r="D80" s="7"/>
      <x:c r="E80" s="7"/>
      <x:c r="F80" s="7"/>
      <x:c r="G80" s="7"/>
      <x:c r="H80" s="7"/>
    </x:row>
    <x:row r="81">
      <x:c r="A81" s="7"/>
      <x:c r="B81" s="7"/>
      <x:c r="C81" s="7"/>
      <x:c r="D81" s="7"/>
      <x:c r="E81" s="7"/>
      <x:c r="F81" s="7"/>
      <x:c r="G81" s="7"/>
      <x:c r="H81" s="7"/>
    </x:row>
    <x:row r="82">
      <x:c r="A82" s="7"/>
      <x:c r="B82" s="7"/>
      <x:c r="C82" s="7"/>
      <x:c r="D82" s="7"/>
      <x:c r="E82" s="7"/>
      <x:c r="F82" s="7"/>
      <x:c r="G82" s="7"/>
      <x:c r="H82" s="7"/>
    </x:row>
    <x:row r="83">
      <x:c r="A83" s="7"/>
      <x:c r="B83" s="7"/>
      <x:c r="C83" s="7"/>
      <x:c r="D83" s="7"/>
      <x:c r="E83" s="7"/>
      <x:c r="F83" s="7"/>
      <x:c r="G83" s="7"/>
      <x:c r="H83" s="7"/>
    </x:row>
    <x:row r="84">
      <x:c r="A84" s="7"/>
      <x:c r="B84" s="7"/>
      <x:c r="C84" s="7"/>
      <x:c r="D84" s="7"/>
      <x:c r="E84" s="7"/>
      <x:c r="F84" s="7"/>
      <x:c r="G84" s="7"/>
      <x:c r="H84" s="7"/>
    </x:row>
    <x:row r="85">
      <x:c r="A85" s="7"/>
      <x:c r="B85" s="7"/>
      <x:c r="C85" s="7"/>
      <x:c r="D85" s="7"/>
      <x:c r="E85" s="7"/>
      <x:c r="F85" s="7"/>
      <x:c r="G85" s="7"/>
      <x:c r="H85" s="7"/>
    </x:row>
    <x:row r="86">
      <x:c r="A86" s="7"/>
      <x:c r="B86" s="7"/>
      <x:c r="C86" s="7"/>
      <x:c r="D86" s="7"/>
      <x:c r="E86" s="7"/>
      <x:c r="F86" s="7"/>
      <x:c r="G86" s="7"/>
      <x:c r="H86" s="7"/>
    </x:row>
    <x:row r="87">
      <x:c r="A87" s="7"/>
      <x:c r="B87" s="7"/>
      <x:c r="C87" s="7"/>
      <x:c r="D87" s="7"/>
      <x:c r="E87" s="7"/>
      <x:c r="F87" s="7"/>
      <x:c r="G87" s="7"/>
      <x:c r="H87" s="7"/>
    </x:row>
    <x:row r="88">
      <x:c r="A88" s="7"/>
      <x:c r="B88" s="7"/>
      <x:c r="C88" s="7"/>
      <x:c r="D88" s="7"/>
      <x:c r="E88" s="7"/>
      <x:c r="F88" s="7"/>
      <x:c r="G88" s="7"/>
      <x:c r="H88" s="7"/>
    </x:row>
    <x:row r="89">
      <x:c r="A89" s="7"/>
      <x:c r="B89" s="7"/>
      <x:c r="C89" s="7"/>
      <x:c r="D89" s="7"/>
      <x:c r="E89" s="7"/>
      <x:c r="F89" s="7"/>
      <x:c r="G89" s="7"/>
      <x:c r="H89" s="7"/>
    </x:row>
    <x:row r="90">
      <x:c r="A90" s="7"/>
      <x:c r="B90" s="7"/>
      <x:c r="C90" s="7"/>
      <x:c r="D90" s="7"/>
      <x:c r="E90" s="7"/>
      <x:c r="F90" s="7"/>
      <x:c r="G90" s="7"/>
      <x:c r="H90" s="7"/>
    </x:row>
    <x:row r="91">
      <x:c r="A91" s="7"/>
      <x:c r="B91" s="7"/>
      <x:c r="C91" s="7"/>
      <x:c r="D91" s="7"/>
      <x:c r="E91" s="7"/>
      <x:c r="F91" s="7"/>
      <x:c r="G91" s="7"/>
      <x:c r="H91" s="7"/>
    </x:row>
    <x:row r="92">
      <x:c r="A92" s="7"/>
      <x:c r="B92" s="7"/>
      <x:c r="C92" s="7"/>
      <x:c r="D92" s="7"/>
      <x:c r="E92" s="7"/>
      <x:c r="F92" s="7"/>
      <x:c r="G92" s="7"/>
      <x:c r="H92" s="7"/>
    </x:row>
    <x:row r="93">
      <x:c r="A93" s="7"/>
      <x:c r="B93" s="7"/>
      <x:c r="C93" s="7"/>
      <x:c r="D93" s="7"/>
      <x:c r="E93" s="7"/>
      <x:c r="F93" s="7"/>
      <x:c r="G93" s="7"/>
      <x:c r="H93" s="7"/>
    </x:row>
    <x:row r="94">
      <x:c r="A94" s="7"/>
      <x:c r="B94" s="7"/>
      <x:c r="C94" s="7"/>
      <x:c r="D94" s="7"/>
      <x:c r="E94" s="7"/>
      <x:c r="F94" s="7"/>
      <x:c r="G94" s="7"/>
      <x:c r="H94" s="7"/>
    </x:row>
    <x:row r="95">
      <x:c r="A95" s="7"/>
      <x:c r="B95" s="7"/>
      <x:c r="C95" s="7"/>
      <x:c r="D95" s="7"/>
      <x:c r="E95" s="7"/>
      <x:c r="F95" s="7"/>
      <x:c r="G95" s="7"/>
      <x:c r="H95" s="7"/>
    </x:row>
    <x:row r="96">
      <x:c r="A96" s="7"/>
      <x:c r="B96" s="7"/>
      <x:c r="C96" s="7"/>
      <x:c r="D96" s="7"/>
      <x:c r="E96" s="7"/>
      <x:c r="F96" s="7"/>
      <x:c r="G96" s="7"/>
      <x:c r="H96" s="7"/>
    </x:row>
    <x:row r="97">
      <x:c r="A97" s="7"/>
      <x:c r="B97" s="7"/>
      <x:c r="C97" s="7"/>
      <x:c r="D97" s="7"/>
      <x:c r="E97" s="7"/>
      <x:c r="F97" s="7"/>
      <x:c r="G97" s="7"/>
      <x:c r="H97" s="7"/>
    </x:row>
    <x:row r="98">
      <x:c r="A98" s="7"/>
      <x:c r="B98" s="7"/>
      <x:c r="C98" s="7"/>
      <x:c r="D98" s="7"/>
      <x:c r="E98" s="7"/>
      <x:c r="F98" s="7"/>
      <x:c r="G98" s="7"/>
      <x:c r="H98" s="7"/>
    </x:row>
  </x:sheetData>
  <x:hyperlinks>
    <x:hyperlink xmlns:r="http://schemas.openxmlformats.org/officeDocument/2006/relationships" ref="G15" r:id="Rb9b536702f7c42c4"/>
    <x:hyperlink xmlns:r="http://schemas.openxmlformats.org/officeDocument/2006/relationships" ref="G21" r:id="Refc4dbfef2904816"/>
  </x:hyperlinks>
  <x:pageMargins left="0.7" right="0.7" top="0.75" bottom="0.75" header="0.3" footer="0.3"/>
  <x:tableParts count="1">
    <x:tablePart xmlns:r="http://schemas.openxmlformats.org/officeDocument/2006/relationships" r:id="R9cfa4608bf1c41a3"/>
  </x:tableParts>
</x:worksheet>
</file>

<file path=xl/worksheets/sheet2.xml><?xml version="1.0" encoding="utf-8"?>
<x:worksheet xmlns:x="http://schemas.openxmlformats.org/spreadsheetml/2006/main">
  <x:sheetFormatPr defaultRowHeight="14"/>
  <x:cols>
    <x:col min="1" max="1" width="4.9140625" style="13" customWidth="1"/>
    <x:col min="2" max="2" width="33" style="13" customWidth="1"/>
    <x:col min="3" max="3" width="19.1640625" style="13" customWidth="1"/>
    <x:col min="4" max="4" width="146.25" style="13" customWidth="1"/>
    <x:col min="5" max="16384" width="8.6640625" style="13" customWidth="0"/>
  </x:cols>
  <x:sheetData>
    <x:row r="1" s="10" customFormat="1">
      <x:c r="A1" s="22" t="str">
        <x:v>Rule</x:v>
      </x:c>
      <x:c r="B1" s="22" t="str">
        <x:v>Area</x:v>
      </x:c>
      <x:c r="C1" s="22" t="str">
        <x:v>Classification</x:v>
      </x:c>
      <x:c r="D1" s="22" t="str">
        <x:v>Rule evidence and notes</x:v>
      </x:c>
    </x:row>
    <x:row r="2" ht="30">
      <x:c r="A2" s="23" t="str">
        <x:v>BR-01</x:v>
      </x:c>
      <x:c r="B2" s="24" t="str">
        <x:v>Operating costs</x:v>
      </x:c>
      <x:c r="C2" s="23" t="str">
        <x:v>Confirmed from client material</x:v>
      </x:c>
      <x:c r="D2" s="24" t="str">
        <x:v>The calculator must capture the annual operating costs required to run a research infrastructure capability. Confirmed cost categories include maintenance or service contracts, personnel needed for operation/training/invoicing/technical support, non-project consumables or reagents, software, data storage or computing, utilities and equipment-specific compliance. Source: S1. Current implementation note: The workbook groups operating costs into direct costs, directly allocated costs, indirect costs, income, indirect costs covered outside the business unit and minimum recovery totals. Clarification: Confirm whether every S1 operating cost category needs a dedicated field in the application, or whether some categories can be grouped.</x:v>
      </x:c>
    </x:row>
    <x:row r="3" ht="30">
      <x:c r="A3" s="25" t="str">
        <x:v>BR-02</x:v>
      </x:c>
      <x:c r="B3" s="26" t="str">
        <x:v>Cost focus and replacement context</x:v>
      </x:c>
      <x:c r="C3" s="25" t="str">
        <x:v>Future enhancement / outside approved MVP</x:v>
      </x:c>
      <x:c r="D3" s="26" t="str">
        <x:v>The approved agreement treats equipment replacement/recovery as a future enhancement unless confirmed as essential. Source: S8.</x:v>
      </x:c>
    </x:row>
    <x:row r="4" ht="30">
      <x:c r="A4" s="23" t="str">
        <x:v>BR-03</x:v>
      </x:c>
      <x:c r="B4" s="24" t="str">
        <x:v>Non-variable operating income and support</x:v>
      </x:c>
      <x:c r="C4" s="23" t="str">
        <x:v>Confirmed from client material</x:v>
      </x:c>
      <x:c r="D4" s="24" t="str">
        <x:v>Non-variable operating income or support must be identified separately from user fees. Confirmed examples include university in-kind support, GP funding, NCRIS funding and other recurrent government support. User fees are not included in this category. Source: S1. Current implementation note: The workbook contains income rows and separate minimum recovery rows for UWA, APFR/PFRI and commercial scenarios. Clarification: Confirm the exact mapping between Non-Variable Operating Income and Non-UWA Operating Support in the application data model.</x:v>
      </x:c>
    </x:row>
    <x:row r="5" ht="20">
      <x:c r="A5" s="25" t="str">
        <x:v>BR-04</x:v>
      </x:c>
      <x:c r="B5" s="26" t="str">
        <x:v>Billable units</x:v>
      </x:c>
      <x:c r="C5" s="25" t="str">
        <x:v>Confirmed from client material</x:v>
      </x:c>
      <x:c r="D5" s="26" t="str">
        <x:v>Each capability must use a defined billable unit consistently across capacity, utilisation and pricing. The methodology gives hours, days and samples as examples. Source: S1. Current implementation note: The workbook mostly demonstrates hour-based capacity and rate calculation, while the methodology allows other units. Clarification: Confirm the allowed unit list and whether non-hour units need conversion rules.</x:v>
      </x:c>
    </x:row>
    <x:row r="6" ht="30">
      <x:c r="A6" s="23" t="str">
        <x:v>BR-05</x:v>
      </x:c>
      <x:c r="B6" s="24" t="str">
        <x:v>Available capacity</x:v>
      </x:c>
      <x:c r="C6" s="23" t="str">
        <x:v>Confirmed from client material</x:v>
      </x:c>
      <x:c r="D6" s="24" t="str">
        <x:v>Available capacity must reflect realistic billable availability rather than the maximum theoretical calendar time. Capacity should account for maintenance, staff availability, downtime, compliance requirements, setup and pack-down time and planned outages. Source: S1. Current implementation note: The workbook records UWA standard year assumptions of 230 days and 1,725 hours, and machine-year assumptions of 251 days and 1,882.5 hours. Clarification: Confirm whether these year assumptions are fixed defaults, editable defaults or examples only.</x:v>
      </x:c>
    </x:row>
    <x:row r="7" ht="30">
      <x:c r="A7" s="25" t="str">
        <x:v>BR-06</x:v>
      </x:c>
      <x:c r="B7" s="26" t="str">
        <x:v>Historical and forecast utilisation</x:v>
      </x:c>
      <x:c r="C7" s="25" t="str">
        <x:v>Confirmed from client material</x:v>
      </x:c>
      <x:c r="D7" s="26" t="str">
        <x:v>Forecast annual utilisation should be informed by historical usage and expected changes. It is a major assumption because it directly determines the denominator in the charge-out rate formulas. Source: S1. Current implementation note: The workbook includes background sheets for average usage and user group type, and the calculator sheet applies utilisation percentages to capacity in rate and recovery formulas. Clarification: Confirm the required historical period and the forecast horizon for the final application.</x:v>
      </x:c>
    </x:row>
    <x:row r="8" ht="20">
      <x:c r="A8" s="23" t="str">
        <x:v>BR-07</x:v>
      </x:c>
      <x:c r="B8" s="24" t="str">
        <x:v>UWA researcher charge-out rate</x:v>
      </x:c>
      <x:c r="C8" s="23" t="str">
        <x:v>Confirmed from client material</x:v>
      </x:c>
      <x:c r="D8" s="24" t="str">
        <x:v>The UWA charge-out rate is calculated as total operating costs minus non-variable operating income, divided by annual utilisation. Source: S1, S2. Current implementation note: The workbook confirms the same structure in the rate calculation sheet, for example `minimum recovery / (capacity x utilisation)` for the UWA row. Clarification: Confirm rounding and display precision for calculated rates.</x:v>
      </x:c>
    </x:row>
    <x:row r="9" ht="30">
      <x:c r="A9" s="25" t="str">
        <x:v>BR-08</x:v>
      </x:c>
      <x:c r="B9" s="26" t="str">
        <x:v>Australian publicly funded researcher charge-out rate</x:v>
      </x:c>
      <x:c r="C9" s="25" t="str">
        <x:v>Confirmed from client material</x:v>
      </x:c>
      <x:c r="D9" s="26" t="str">
        <x:v>The Australian publicly funded researcher charge-out rate is calculated as total operating costs minus non-UWA operating support, divided by annual utilisation, multiplied by 1.35. Source: S1, S2. Current implementation note: The workbook implements this class as a 1.35 uplift on the relevant minimum recovery calculation. The issue calls this APFR/PFR, while workbook material also shows PFRI wording. Clarification: Confirm the final label: APFR, PFR, PFRI or another client-approved term.</x:v>
      </x:c>
    </x:row>
    <x:row r="10" ht="30">
      <x:c r="A10" s="23" t="str">
        <x:v>BR-09</x:v>
      </x:c>
      <x:c r="B10" s="24" t="str">
        <x:v>Commercial charge-out rate</x:v>
      </x:c>
      <x:c r="C10" s="23" t="str">
        <x:v>Confirmed from client material</x:v>
      </x:c>
      <x:c r="D10" s="24" t="str">
        <x:v>The commercial charge-out rate is calculated as total operating costs divided by annual utilisation, multiplied by 1.35. Commercial users include industry, non-research and other external users not covered by the public researcher category. Source: S1, S2. Current implementation note: The workbook confirms the 1.35 multiplier for the commercial row. The context document links this treatment to competitive neutrality and notes that operator time may use UWA consultancy rates or a similar basis. Clarification: Confirm whether any commercial services are exempt from the uplift.</x:v>
      </x:c>
    </x:row>
    <x:row r="11" ht="20">
      <x:c r="A11" s="25" t="str">
        <x:v>BR-10</x:v>
      </x:c>
      <x:c r="B11" s="26" t="str">
        <x:v>Indirect cost recovery uplift</x:v>
      </x:c>
      <x:c r="C11" s="25" t="str">
        <x:v>Confirmed from client material</x:v>
      </x:c>
      <x:c r="D11" s="26" t="str">
        <x:v>A 35 percent indirect-cost recovery uplift applies to the APFR/PFRI and commercial formulas shown in the context document and workbook. Source: S1, S2. Current implementation note: The current application calculation also appears to apply a 1.35 multiplier to APFR and commercial rates. Clarification: The issue wording says 'where applicable', so exceptions and approval handling still need client confirmation.</x:v>
      </x:c>
    </x:row>
    <x:row r="12" ht="20">
      <x:c r="A12" s="23" t="str">
        <x:v>BR-11</x:v>
      </x:c>
      <x:c r="B12" s="24" t="str">
        <x:v>GST treatment</x:v>
      </x:c>
      <x:c r="C12" s="23" t="str">
        <x:v>Confirmed from client material</x:v>
      </x:c>
      <x:c r="D12" s="24" t="str">
        <x:v>Calculated rates are intended to be GST-exclusive. GST is added separately for external users where applicable, and GST is not treated as available income for facility operations. Source: S1. Current implementation note: Exports and user-facing summaries should preserve GST-exclusive wording so users do not treat GST as part of operating recovery. Clarification: Confirm the exact wording required on PDF and CSV outputs.</x:v>
      </x:c>
    </x:row>
    <x:row r="13" ht="30">
      <x:c r="A13" s="25" t="str">
        <x:v>BR-12</x:v>
      </x:c>
      <x:c r="B13" s="26" t="str">
        <x:v>Benchmarking</x:v>
      </x:c>
      <x:c r="C13" s="25" t="str">
        <x:v>Confirmed MVP requirement; structure pending client clarification</x:v>
      </x:c>
      <x:c r="D13" s="26" t="str">
        <x:v>Benchmarking is in the approved MVP, but the client must confirm whether notes are sufficient or a structured comparison is required. Source: S8.</x:v>
      </x:c>
    </x:row>
    <x:row r="14" ht="30">
      <x:c r="A14" s="23" t="str">
        <x:v>BR-13</x:v>
      </x:c>
      <x:c r="B14" s="24" t="str">
        <x:v>Approval evidence</x:v>
      </x:c>
      <x:c r="C14" s="23" t="str">
        <x:v>Confirmed MVP review evidence; full digital approval is a future enhancement</x:v>
      </x:c>
      <x:c r="D14" s="24" t="str">
        <x:v>The approved MVP requires structured review information. The application stores calculation snapshots and audit events, blocks submission or approval when the latest snapshot is stale, restricts approval to the Reviewer role and provides Audit History navigation. Evidence: PRs #34, #36, #40, #50, #52 and #53. The exact retained events, fields and history display behaviour still require client clarification. A full digital approval workflow is a future enhancement. Source: S1, S5, S8.</x:v>
      </x:c>
    </x:row>
    <x:row r="15" ht="20">
      <x:c r="A15" s="25" t="str">
        <x:v>BR-14</x:v>
      </x:c>
      <x:c r="B15" s="26" t="str">
        <x:v>Rate communication</x:v>
      </x:c>
      <x:c r="C15" s="25" t="str">
        <x:v>Confirmed MVP supporting output; communication workflow is a future enhancement</x:v>
      </x:c>
      <x:c r="D15" s="26" t="str">
        <x:v>The MVP requires supporting output. Automated communication is a future enhancement. Source: S8.</x:v>
      </x:c>
    </x:row>
    <x:row r="16" ht="30">
      <x:c r="A16" s="23" t="str">
        <x:v>BR-15</x:v>
      </x:c>
      <x:c r="B16" s="24" t="str">
        <x:v>Shared and platform-level cost allocation</x:v>
      </x:c>
      <x:c r="C16" s="23" t="str">
        <x:v>Pending client clarification</x:v>
      </x:c>
      <x:c r="D16" s="24" t="str">
        <x:v>The shared/platform cost allocation method remains dependent on client confirmation. Source: S8.</x:v>
      </x:c>
    </x:row>
    <x:row r="17" ht="30">
      <x:c r="A17" s="25" t="str">
        <x:v>BR-16</x:v>
      </x:c>
      <x:c r="B17" s="26" t="str">
        <x:v>Proposed rates and recovery comparison</x:v>
      </x:c>
      <x:c r="C17" s="25" t="str">
        <x:v>Confirmed from client material</x:v>
      </x:c>
      <x:c r="D17" s="26" t="str">
        <x:v>Users should be able to enter proposed rates and compare the financial recovery produced by those rates against the calculated minimum sustainable rates. Source: S2. Current implementation note: The workbook has proposed UWA, APFR/PFRI and commercial rate rows and recovery comparison rows that calculate proposed recovery and the difference from minimum recovery. Clarification: Confirm whether proposed rates require justification notes when they are below the calculated sustainable rate.</x:v>
      </x:c>
    </x:row>
    <x:row r="18" ht="30">
      <x:c r="A18" s="23" t="str">
        <x:v>BR-17</x:v>
      </x:c>
      <x:c r="B18" s="24" t="str">
        <x:v>Current calculation alignment</x:v>
      </x:c>
      <x:c r="C18" s="23" t="str">
        <x:v>Proposed</x:v>
      </x:c>
      <x:c r="D18" s="24" t="str">
        <x:v>The current application formulas should remain aligned with the confirmed formulas in the context document and workbook. Calculation changes should be versioned or documented so later exports can be traced to the rule set used at the time. Source: S1, S2, S5. Current implementation note: The current implementation appears to calculate UWA, APFR and commercial rates using the same formula family as S1 and S2. Clarification: Confirm whether the client requires an explicit calculation version label in exports.</x:v>
      </x:c>
    </x:row>
    <x:row r="19" ht="20">
      <x:c r="A19" s="25" t="str">
        <x:v>BR-18</x:v>
      </x:c>
      <x:c r="B19" s="26" t="str">
        <x:v>Justification and evidence traceability</x:v>
      </x:c>
      <x:c r="C19" s="25" t="str">
        <x:v>Confirmed MVP justification/evidence requirement</x:v>
      </x:c>
      <x:c r="D19" s="26" t="str">
        <x:v>The approved MVP explicitly requires justification and supporting evidence for costs, utilisation and pricing. Source: S8.</x:v>
      </x:c>
    </x:row>
    <x:row r="20" ht="20">
      <x:c r="A20" s="23" t="str">
        <x:v>BR-19</x:v>
      </x:c>
      <x:c r="B20" s="24" t="str">
        <x:v>Benchmark data persistence</x:v>
      </x:c>
      <x:c r="C20" s="23" t="str">
        <x:v>Confirmed MVP benchmarking support; record structure, retention and mandatory-record requirement pending client clarification</x:v>
      </x:c>
      <x:c r="D20" s="24" t="str">
        <x:v>Benchmarking support and the ability to record benchmark information are part of the approved MVP. The current implementation has benchmark-related data structures and aggregate reads, but no complete save flow, user interface or automated test. The exact fields, retention behaviour and whether a benchmark record is mandatory before review or submission remain pending client clarification. Source: S1, S2, S5, S8.</x:v>
      </x:c>
    </x:row>
    <x:row r="21" ht="20">
      <x:c r="A21" s="25" t="str">
        <x:v>BR-20</x:v>
      </x:c>
      <x:c r="B21" s="26" t="str">
        <x:v>Document export</x:v>
      </x:c>
      <x:c r="C21" s="25" t="str">
        <x:v>Confirmed MVP supporting output; format pending client clarification</x:v>
      </x:c>
      <x:c r="D21" s="26" t="str">
        <x:v>Supporting output is required in the MVP, while final format and retained fields remain pending client confirmation. Source: S8.</x:v>
      </x:c>
    </x:row>
  </x:sheetData>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4"/>
  <x:cols>
    <x:col min="1" max="1" width="10" style="1" customWidth="1"/>
    <x:col min="2" max="2" width="42" style="1" customWidth="1"/>
    <x:col min="3" max="3" width="94.33203125" style="1" customWidth="1"/>
    <x:col min="4" max="16384" width="8.6640625" style="1" customWidth="0"/>
  </x:cols>
  <x:sheetData>
    <x:row r="1" s="3" customFormat="1" ht="15" customHeight="1">
      <x:c r="A1" s="30" t="str">
        <x:v>ID</x:v>
      </x:c>
      <x:c r="B1" s="30" t="str">
        <x:v>Source</x:v>
      </x:c>
      <x:c r="C1" s="30" t="str">
        <x:v>Use</x:v>
      </x:c>
    </x:row>
    <x:row r="2" s="2" customFormat="1" ht="21.649999618530273" customHeight="1">
      <x:c r="A2" s="17" t="str">
        <x:v>S1</x:v>
      </x:c>
      <x:c r="B2" s="17" t="str">
        <x:v>01_CONTEXT-Costing &amp; Pricing Research Infrastructure.docx</x:v>
      </x:c>
      <x:c r="C2" s="17" t="str">
        <x:v>Client methodology for operating costs, support income, capacity, utilisation, formulas, GST, benchmarking, approval and communication.</x:v>
      </x:c>
    </x:row>
    <x:row r="3" s="2" customFormat="1" ht="15" customHeight="1">
      <x:c r="A3" s="17" t="str">
        <x:v>S2</x:v>
      </x:c>
      <x:c r="B3" s="17" t="str">
        <x:v>02_TEMPLATE-RIC Cost Calculator.xlsx</x:v>
      </x:c>
      <x:c r="C3" s="17" t="str">
        <x:v>Existing RIC calculator workbook used for formulas, workbook structure, proposed rates and recovery comparison.</x:v>
      </x:c>
    </x:row>
    <x:row r="4" s="2" customFormat="1" ht="15" customHeight="1">
      <x:c r="A4" s="17" t="str">
        <x:v>S3</x:v>
      </x:c>
      <x:c r="B4" s="17" t="str">
        <x:v>03_EXAMPLE-Project Costing Template.docx</x:v>
      </x:c>
      <x:c r="C4" s="17" t="str">
        <x:v>Reference for guided costing inputs, editable assumptions, output review and export pattern.</x:v>
      </x:c>
    </x:row>
    <x:row r="5" s="2" customFormat="1" ht="15" customHeight="1">
      <x:c r="A5" s="17" t="str">
        <x:v>S4</x:v>
      </x:c>
      <x:c r="B5" s="17" t="str">
        <x:v>04_EXAMPLE-UniSuper Calculator.docx</x:v>
      </x:c>
      <x:c r="C5" s="17" t="str">
        <x:v>Reference for calculator-style user experience, adjustable inputs, forecast output and export pattern.</x:v>
      </x:c>
    </x:row>
    <x:row r="6" s="2" customFormat="1" ht="48" customHeight="1">
      <x:c r="A6" s="17" t="str">
        <x:v>S5</x:v>
      </x:c>
      <x:c r="B6" s="17" t="str">
        <x:v>Current application, repository and merged GitHub pull requests</x:v>
      </x:c>
      <x:c r="C6" s="29" t="e">
        <x:f>HYPERLINK("#'Evidence Links'!A4","Implementation and test evidence from the repository. Relevant merged PRs include #1, #14, #16, #17, #21, #23, #34, #36-#38, #40, #49-#53 and #60.")</x:f>
        <x:v>HYPERLINK is not implemented. linkLocation=#'Evidence Links'!A4, friendlyName=Implementation and test evidence from the repository. Relevant merged PRs include #1, #14, #16, #17, #21, #23, #34, #36-#38, #40, #49-#53 and #60.</x:v>
      </x:c>
    </x:row>
    <x:row r="7" s="2" customFormat="1" ht="48" customHeight="1">
      <x:c r="A7" s="17" t="str">
        <x:v>S6</x:v>
      </x:c>
      <x:c r="B7" s="17" t="str">
        <x:v>GitHub Issues #45 and #46</x:v>
      </x:c>
      <x:c r="C7" s="29" t="e">
        <x:f>HYPERLINK("#'Evidence Links'!A2","Issue #45 tracks the client-approved MVP traceability update. Issue #46 tracks acceptance-criteria verification and gap analysis.")</x:f>
        <x:v>HYPERLINK is not implemented. linkLocation=#'Evidence Links'!A2, friendlyName=Issue #45 tracks the client-approved MVP traceability update. Issue #46 tracks acceptance-criteria verification and gap analysis.</x:v>
      </x:c>
    </x:row>
    <x:row r="8" s="2" customFormat="1" ht="48" customHeight="1">
      <x:c r="A8" s="17" t="str">
        <x:v>S7</x:v>
      </x:c>
      <x:c r="B8" s="17" t="str">
        <x:v>Business Rule Analysis / Catalogue - maintained in docs/business-rule-analysis.md</x:v>
      </x:c>
      <x:c r="C8" s="18" t="str">
        <x:v>Primary consolidated traceability source for this matrix. BR-01 to BR-20 map to Requirements 1 to 20. The reviewed matrix was introduced in PR #21 and is updated for the client-approved MVP under Issue #45.</x:v>
      </x:c>
    </x:row>
    <x:row r="9" ht="34" customHeight="1">
      <x:c r="A9" s="20" t="str">
        <x:v>S8</x:v>
      </x:c>
      <x:c r="B9" s="20" t="str">
        <x:v>Proposed MVP client agreement - ES agreed.docx</x:v>
      </x:c>
      <x:c r="C9" s="20" t="str">
        <x:v>Client-approved MVP scope, features, acceptance criteria, future enhancements and items still requiring clarification. Confirmed by Erika Slavin.</x:v>
      </x:c>
    </x:row>
  </x:sheetData>
  <x:pageMargins left="0.7" right="0.7" top="0.75" bottom="0.75" header="0.3" footer="0.3"/>
  <x:tableParts count="1">
    <x:tablePart xmlns:r="http://schemas.openxmlformats.org/officeDocument/2006/relationships" r:id="R42ef78be46cc4b2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2" hidden="0" customWidth="1"/>
    <x:col min="3" max="3" width="62" hidden="0" customWidth="1"/>
    <x:col min="4" max="4" width="14" hidden="0" customWidth="1"/>
  </x:cols>
  <x:sheetData>
    <x:row r="1">
      <x:c r="A1" s="37" t="str">
        <x:v>Type</x:v>
      </x:c>
      <x:c r="B1" s="37" t="str">
        <x:v>Reference</x:v>
      </x:c>
      <x:c r="C1" s="37" t="str">
        <x:v>Evidence</x:v>
      </x:c>
      <x:c r="D1" s="37" t="str">
        <x:v>Link</x:v>
      </x:c>
    </x:row>
    <x:row r="2" ht="26" customHeight="1">
      <x:c r="A2" s="38" t="str">
        <x:v>Issue</x:v>
      </x:c>
      <x:c r="B2" s="38" t="str">
        <x:v>#45</x:v>
      </x:c>
      <x:c r="C2" s="38" t="str">
        <x:v>Update requirements traceability for the client-approved MVP scope</x:v>
      </x:c>
      <x:c r="D2" s="39" t="e">
        <x:f>HYPERLINK("https://github.com/Roshss2508/CITS_5206_Proj11_Capstone/issues/45","Open #45")</x:f>
        <x:v>HYPERLINK is not implemented. linkLocation=https://github.com/Roshss2508/CITS_5206_Proj11_Capstone/issues/45, friendlyName=Open #45</x:v>
      </x:c>
    </x:row>
    <x:row r="3" ht="26" customHeight="1">
      <x:c r="A3" s="38" t="str">
        <x:v>Issue</x:v>
      </x:c>
      <x:c r="B3" s="38" t="str">
        <x:v>#46</x:v>
      </x:c>
      <x:c r="C3" s="38" t="str">
        <x:v>Verify the implementation against the approved MVP acceptance criteria</x:v>
      </x:c>
      <x:c r="D3" s="39" t="e">
        <x:f>HYPERLINK("https://github.com/Roshss2508/CITS_5206_Proj11_Capstone/issues/46","Open #46")</x:f>
        <x:v>HYPERLINK is not implemented. linkLocation=https://github.com/Roshss2508/CITS_5206_Proj11_Capstone/issues/46, friendlyName=Open #46</x:v>
      </x:c>
    </x:row>
    <x:row r="4" ht="26" customHeight="1">
      <x:c r="A4" s="38" t="str">
        <x:v>PR</x:v>
      </x:c>
      <x:c r="B4" s="38" t="str">
        <x:v>#1</x:v>
      </x:c>
      <x:c r="C4" s="38" t="str">
        <x:v>Remove the duplicate Step 4 calculate action</x:v>
      </x:c>
      <x:c r="D4" s="39" t="e">
        <x:f>HYPERLINK("https://github.com/Roshss2508/CITS_5206_Proj11_Capstone/pull/1","Open #1")</x:f>
        <x:v>HYPERLINK is not implemented. linkLocation=https://github.com/Roshss2508/CITS_5206_Proj11_Capstone/pull/1, friendlyName=Open #1</x:v>
      </x:c>
    </x:row>
    <x:row r="5" ht="26" customHeight="1">
      <x:c r="A5" s="38" t="str">
        <x:v>PR</x:v>
      </x:c>
      <x:c r="B5" s="38" t="str">
        <x:v>#14</x:v>
      </x:c>
      <x:c r="C5" s="38" t="str">
        <x:v>Add validation and core workflow browser coverage</x:v>
      </x:c>
      <x:c r="D5" s="39" t="e">
        <x:f>HYPERLINK("https://github.com/Roshss2508/CITS_5206_Proj11_Capstone/pull/14","Open #14")</x:f>
        <x:v>HYPERLINK is not implemented. linkLocation=https://github.com/Roshss2508/CITS_5206_Proj11_Capstone/pull/14, friendlyName=Open #14</x:v>
      </x:c>
    </x:row>
    <x:row r="6" ht="26" customHeight="1">
      <x:c r="A6" s="38" t="str">
        <x:v>PR</x:v>
      </x:c>
      <x:c r="B6" s="38" t="str">
        <x:v>#16</x:v>
      </x:c>
      <x:c r="C6" s="38" t="str">
        <x:v>Add the reviewed business-rule analysis</x:v>
      </x:c>
      <x:c r="D6" s="39" t="e">
        <x:f>HYPERLINK("https://github.com/Roshss2508/CITS_5206_Proj11_Capstone/pull/16","Open #16")</x:f>
        <x:v>HYPERLINK is not implemented. linkLocation=https://github.com/Roshss2508/CITS_5206_Proj11_Capstone/pull/16, friendlyName=Open #16</x:v>
      </x:c>
    </x:row>
    <x:row r="7" ht="26" customHeight="1">
      <x:c r="A7" s="38" t="str">
        <x:v>PR</x:v>
      </x:c>
      <x:c r="B7" s="38" t="str">
        <x:v>#17</x:v>
      </x:c>
      <x:c r="C7" s="38" t="str">
        <x:v>Validate RIC formula recovery outputs</x:v>
      </x:c>
      <x:c r="D7" s="39" t="e">
        <x:f>HYPERLINK("https://github.com/Roshss2508/CITS_5206_Proj11_Capstone/pull/17","Open #17")</x:f>
        <x:v>HYPERLINK is not implemented. linkLocation=https://github.com/Roshss2508/CITS_5206_Proj11_Capstone/pull/17, friendlyName=Open #17</x:v>
      </x:c>
    </x:row>
    <x:row r="8" ht="26" customHeight="1">
      <x:c r="A8" s="38" t="str">
        <x:v>PR</x:v>
      </x:c>
      <x:c r="B8" s="38" t="str">
        <x:v>#21</x:v>
      </x:c>
      <x:c r="C8" s="38" t="str">
        <x:v>Add the reviewed Requirements Traceability Matrix</x:v>
      </x:c>
      <x:c r="D8" s="39" t="e">
        <x:f>HYPERLINK("https://github.com/Roshss2508/CITS_5206_Proj11_Capstone/pull/21","Open #21")</x:f>
        <x:v>HYPERLINK is not implemented. linkLocation=https://github.com/Roshss2508/CITS_5206_Proj11_Capstone/pull/21, friendlyName=Open #21</x:v>
      </x:c>
    </x:row>
    <x:row r="9" ht="26" customHeight="1">
      <x:c r="A9" s="38" t="str">
        <x:v>PR</x:v>
      </x:c>
      <x:c r="B9" s="38" t="str">
        <x:v>#23</x:v>
      </x:c>
      <x:c r="C9" s="38" t="str">
        <x:v>Correct PDF export text wrapping</x:v>
      </x:c>
      <x:c r="D9" s="39" t="e">
        <x:f>HYPERLINK("https://github.com/Roshss2508/CITS_5206_Proj11_Capstone/pull/23","Open #23")</x:f>
        <x:v>HYPERLINK is not implemented. linkLocation=https://github.com/Roshss2508/CITS_5206_Proj11_Capstone/pull/23, friendlyName=Open #23</x:v>
      </x:c>
    </x:row>
    <x:row r="10" ht="26" customHeight="1">
      <x:c r="A10" s="38" t="str">
        <x:v>PR</x:v>
      </x:c>
      <x:c r="B10" s="38" t="str">
        <x:v>#34</x:v>
      </x:c>
      <x:c r="C10" s="38" t="str">
        <x:v>Block submission when a calculation snapshot is stale</x:v>
      </x:c>
      <x:c r="D10" s="39" t="e">
        <x:f>HYPERLINK("https://github.com/Roshss2508/CITS_5206_Proj11_Capstone/pull/34","Open #34")</x:f>
        <x:v>HYPERLINK is not implemented. linkLocation=https://github.com/Roshss2508/CITS_5206_Proj11_Capstone/pull/34, friendlyName=Open #34</x:v>
      </x:c>
    </x:row>
    <x:row r="11" ht="26" customHeight="1">
      <x:c r="A11" s="38" t="str">
        <x:v>PR</x:v>
      </x:c>
      <x:c r="B11" s="38" t="str">
        <x:v>#36</x:v>
      </x:c>
      <x:c r="C11" s="38" t="str">
        <x:v>Persist the demo role across navigation</x:v>
      </x:c>
      <x:c r="D11" s="39" t="e">
        <x:f>HYPERLINK("https://github.com/Roshss2508/CITS_5206_Proj11_Capstone/pull/36","Open #36")</x:f>
        <x:v>HYPERLINK is not implemented. linkLocation=https://github.com/Roshss2508/CITS_5206_Proj11_Capstone/pull/36, friendlyName=Open #36</x:v>
      </x:c>
    </x:row>
    <x:row r="12" ht="26" customHeight="1">
      <x:c r="A12" s="38" t="str">
        <x:v>PR</x:v>
      </x:c>
      <x:c r="B12" s="38" t="str">
        <x:v>#37</x:v>
      </x:c>
      <x:c r="C12" s="38" t="str">
        <x:v>Persist Step 2 deletions and cover the empty state</x:v>
      </x:c>
      <x:c r="D12" s="39" t="e">
        <x:f>HYPERLINK("https://github.com/Roshss2508/CITS_5206_Proj11_Capstone/pull/37","Open #37")</x:f>
        <x:v>HYPERLINK is not implemented. linkLocation=https://github.com/Roshss2508/CITS_5206_Proj11_Capstone/pull/37, friendlyName=Open #37</x:v>
      </x:c>
    </x:row>
    <x:row r="13" ht="26" customHeight="1">
      <x:c r="A13" s="38" t="str">
        <x:v>PR</x:v>
      </x:c>
      <x:c r="B13" s="38" t="str">
        <x:v>#38</x:v>
      </x:c>
      <x:c r="C13" s="38" t="str">
        <x:v>Validate capability-linked records</x:v>
      </x:c>
      <x:c r="D13" s="39" t="e">
        <x:f>HYPERLINK("https://github.com/Roshss2508/CITS_5206_Proj11_Capstone/pull/38","Open #38")</x:f>
        <x:v>HYPERLINK is not implemented. linkLocation=https://github.com/Roshss2508/CITS_5206_Proj11_Capstone/pull/38, friendlyName=Open #38</x:v>
      </x:c>
    </x:row>
    <x:row r="14" ht="26" customHeight="1">
      <x:c r="A14" s="38" t="str">
        <x:v>PR</x:v>
      </x:c>
      <x:c r="B14" s="38" t="str">
        <x:v>#40</x:v>
      </x:c>
      <x:c r="C14" s="38" t="str">
        <x:v>Prompt for recalculation when a snapshot is stale</x:v>
      </x:c>
      <x:c r="D14" s="39" t="e">
        <x:f>HYPERLINK("https://github.com/Roshss2508/CITS_5206_Proj11_Capstone/pull/40","Open #40")</x:f>
        <x:v>HYPERLINK is not implemented. linkLocation=https://github.com/Roshss2508/CITS_5206_Proj11_Capstone/pull/40, friendlyName=Open #40</x:v>
      </x:c>
    </x:row>
    <x:row r="15" ht="26" customHeight="1">
      <x:c r="A15" s="38" t="str">
        <x:v>PR</x:v>
      </x:c>
      <x:c r="B15" s="38" t="str">
        <x:v>#49</x:v>
      </x:c>
      <x:c r="C15" s="38" t="str">
        <x:v>Prevent duplicate restore requests</x:v>
      </x:c>
      <x:c r="D15" s="39" t="e">
        <x:f>HYPERLINK("https://github.com/Roshss2508/CITS_5206_Proj11_Capstone/pull/49","Open #49")</x:f>
        <x:v>HYPERLINK is not implemented. linkLocation=https://github.com/Roshss2508/CITS_5206_Proj11_Capstone/pull/49, friendlyName=Open #49</x:v>
      </x:c>
    </x:row>
    <x:row r="16" ht="26" customHeight="1">
      <x:c r="A16" s="38" t="str">
        <x:v>PR</x:v>
      </x:c>
      <x:c r="B16" s="38" t="str">
        <x:v>#50</x:v>
      </x:c>
      <x:c r="C16" s="38" t="str">
        <x:v>Cover the restored stale-snapshot journey</x:v>
      </x:c>
      <x:c r="D16" s="39" t="e">
        <x:f>HYPERLINK("https://github.com/Roshss2508/CITS_5206_Proj11_Capstone/pull/50","Open #50")</x:f>
        <x:v>HYPERLINK is not implemented. linkLocation=https://github.com/Roshss2508/CITS_5206_Proj11_Capstone/pull/50, friendlyName=Open #50</x:v>
      </x:c>
    </x:row>
    <x:row r="17" ht="26" customHeight="1">
      <x:c r="A17" s="38" t="str">
        <x:v>PR</x:v>
      </x:c>
      <x:c r="B17" s="38" t="str">
        <x:v>#51</x:v>
      </x:c>
      <x:c r="C17" s="38" t="str">
        <x:v>Make Step 2 cost and income saves atomic</x:v>
      </x:c>
      <x:c r="D17" s="39" t="e">
        <x:f>HYPERLINK("https://github.com/Roshss2508/CITS_5206_Proj11_Capstone/pull/51","Open #51")</x:f>
        <x:v>HYPERLINK is not implemented. linkLocation=https://github.com/Roshss2508/CITS_5206_Proj11_Capstone/pull/51, friendlyName=Open #51</x:v>
      </x:c>
    </x:row>
    <x:row r="18" ht="26" customHeight="1">
      <x:c r="A18" s="38" t="str">
        <x:v>PR</x:v>
      </x:c>
      <x:c r="B18" s="38" t="str">
        <x:v>#52</x:v>
      </x:c>
      <x:c r="C18" s="38" t="str">
        <x:v>Generate exports from the persisted calculation snapshot</x:v>
      </x:c>
      <x:c r="D18" s="39" t="e">
        <x:f>HYPERLINK("https://github.com/Roshss2508/CITS_5206_Proj11_Capstone/pull/52","Open #52")</x:f>
        <x:v>HYPERLINK is not implemented. linkLocation=https://github.com/Roshss2508/CITS_5206_Proj11_Capstone/pull/52, friendlyName=Open #52</x:v>
      </x:c>
    </x:row>
    <x:row r="19" ht="26" customHeight="1">
      <x:c r="A19" s="38" t="str">
        <x:v>PR</x:v>
      </x:c>
      <x:c r="B19" s="38" t="str">
        <x:v>#53</x:v>
      </x:c>
      <x:c r="C19" s="38" t="str">
        <x:v>Improve Audit History navigation</x:v>
      </x:c>
      <x:c r="D19" s="39" t="e">
        <x:f>HYPERLINK("https://github.com/Roshss2508/CITS_5206_Proj11_Capstone/pull/53","Open #53")</x:f>
        <x:v>HYPERLINK is not implemented. linkLocation=https://github.com/Roshss2508/CITS_5206_Proj11_Capstone/pull/53, friendlyName=Open #53</x:v>
      </x:c>
    </x:row>
    <x:row r="20" ht="26" customHeight="1">
      <x:c r="A20" s="38" t="str">
        <x:v>PR</x:v>
      </x:c>
      <x:c r="B20" s="38" t="str">
        <x:v>#60</x:v>
      </x:c>
      <x:c r="C20" s="38" t="str">
        <x:v>Update the README following client MVP approval</x:v>
      </x:c>
      <x:c r="D20" s="39" t="e">
        <x:f>HYPERLINK("https://github.com/Roshss2508/CITS_5206_Proj11_Capstone/pull/60","Open #60")</x:f>
        <x:v>HYPERLINK is not implemented. linkLocation=https://github.com/Roshss2508/CITS_5206_Proj11_Capstone/pull/60, friendlyName=Open #60</x:v>
      </x:c>
    </x:row>
  </x:sheetData>
  <x:pageMargins left="0.7" right="0.7" top="0.75" bottom="0.75" header="0.3" footer="0.3"/>
  <x:tableParts count="1">
    <x:tablePart xmlns:r="http://schemas.openxmlformats.org/officeDocument/2006/relationships" r:id="R2a5c11ec14594690"/>
  </x:tableParts>
</x:worksheet>
</file>